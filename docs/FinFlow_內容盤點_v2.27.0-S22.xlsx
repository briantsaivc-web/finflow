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職業" sheetId="2" state="visible" r:id="rId4"/>
    <sheet name="電腦玩家性格" sheetId="3" state="visible" r:id="rId5"/>
    <sheet name="夢想" sheetId="4" state="visible" r:id="rId6"/>
    <sheet name="股票設定" sheetId="5" state="visible" r:id="rId7"/>
    <sheet name="股票掛單卡" sheetId="6" state="visible" r:id="rId8"/>
    <sheet name="機會卡" sheetId="7" state="visible" r:id="rId9"/>
    <sheet name="人生事件卡" sheetId="8" state="visible" r:id="rId10"/>
    <sheet name="生活消費卡" sheetId="9" state="visible" r:id="rId11"/>
    <sheet name="市場與總經卡" sheetId="10" state="visible" r:id="rId12"/>
    <sheet name="品格帳本卡" sheetId="11" state="visible" r:id="rId13"/>
    <sheet name="人生商城" sheetId="12" state="visible" r:id="rId14"/>
    <sheet name="學習-技能" sheetId="13" state="visible" r:id="rId15"/>
    <sheet name="學習-情境卡" sheetId="14" state="visible" r:id="rId16"/>
    <sheet name="學習-數位資產" sheetId="15" state="visible" r:id="rId17"/>
    <sheet name="徽章" sheetId="16" state="visible" r:id="rId18"/>
    <sheet name="盤面" sheetId="17" state="visible" r:id="rId19"/>
  </sheets>
  <definedNames>
    <definedName function="false" hidden="true" localSheetId="7" name="_xlnm._FilterDatabase" vbProcedure="false">人生事件卡!$A$4:$Z$64</definedName>
    <definedName function="false" hidden="true" localSheetId="11" name="_xlnm._FilterDatabase" vbProcedure="false">人生商城!$A$4:$AB$30</definedName>
    <definedName function="false" hidden="true" localSheetId="10" name="_xlnm._FilterDatabase" vbProcedure="false">品格帳本卡!$A$4:$O$330</definedName>
    <definedName function="false" hidden="true" localSheetId="3" name="_xlnm._FilterDatabase" vbProcedure="false">夢想!$A$4:$J$12</definedName>
    <definedName function="false" hidden="true" localSheetId="13" name="_xlnm._FilterDatabase" vbProcedure="false">'學習-情境卡'!$A$4:$M$16</definedName>
    <definedName function="false" hidden="true" localSheetId="12" name="_xlnm._FilterDatabase" vbProcedure="false">'學習-技能'!$A$4:$O$22</definedName>
    <definedName function="false" hidden="true" localSheetId="14" name="_xlnm._FilterDatabase" vbProcedure="false">'學習-數位資產'!$A$4:$L$10</definedName>
    <definedName function="false" hidden="true" localSheetId="9" name="_xlnm._FilterDatabase" vbProcedure="false">市場與總經卡!$A$4:$N$36</definedName>
    <definedName function="false" hidden="true" localSheetId="15" name="_xlnm._FilterDatabase" vbProcedure="false">徽章!$A$4:$K$33</definedName>
    <definedName function="false" hidden="true" localSheetId="6" name="_xlnm._FilterDatabase" vbProcedure="false">機會卡!$A$4:$AA$70</definedName>
    <definedName function="false" hidden="true" localSheetId="8" name="_xlnm._FilterDatabase" vbProcedure="false">生活消費卡!$A$4:$K$28</definedName>
    <definedName function="false" hidden="true" localSheetId="16" name="_xlnm._FilterDatabase" vbProcedure="false">盤面!$A$4:$E$40</definedName>
    <definedName function="false" hidden="true" localSheetId="1" name="_xlnm._FilterDatabase" vbProcedure="false">職業!$A$4:$O$24</definedName>
    <definedName function="false" hidden="true" localSheetId="5" name="_xlnm._FilterDatabase" vbProcedure="false">股票掛單卡!$A$4:$K$14</definedName>
    <definedName function="false" hidden="true" localSheetId="4" name="_xlnm._FilterDatabase" vbProcedure="false">股票設定!$A$4:$K$8</definedName>
    <definedName function="false" hidden="true" localSheetId="2" name="_xlnm._FilterDatabase" vbProcedure="false">電腦玩家性格!$A$4:$K$7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<sst xmlns="http://schemas.openxmlformats.org/spreadsheetml/2006/main" count="6164" uniqueCount="3092">
  <si>
    <r>
      <rPr>
        <b val="true"/>
        <sz val="14"/>
        <rFont val="Arial"/>
        <family val="0"/>
        <charset val="1"/>
      </rPr>
      <t xml:space="preserve">FinFlow </t>
    </r>
    <r>
      <rPr>
        <b val="true"/>
        <sz val="14"/>
        <rFont val="Noto Sans CJK SC"/>
        <family val="2"/>
      </rPr>
      <t xml:space="preserve">財商沙盒 內容盤點</t>
    </r>
  </si>
  <si>
    <r>
      <rPr>
        <i val="true"/>
        <sz val="9"/>
        <color rgb="FF666666"/>
        <rFont val="Noto Sans CJK SC"/>
        <family val="2"/>
      </rPr>
      <t xml:space="preserve">版本 </t>
    </r>
    <r>
      <rPr>
        <i val="true"/>
        <sz val="9"/>
        <color rgb="FF666666"/>
        <rFont val="Arial"/>
        <family val="0"/>
        <charset val="1"/>
      </rPr>
      <t xml:space="preserve">v2.27.0-S22</t>
    </r>
    <r>
      <rPr>
        <i val="true"/>
        <sz val="9"/>
        <color rgb="FF666666"/>
        <rFont val="Noto Sans CJK SC"/>
        <family val="2"/>
      </rPr>
      <t xml:space="preserve">｜資料來源：</t>
    </r>
    <r>
      <rPr>
        <i val="true"/>
        <sz val="9"/>
        <color rgb="FF666666"/>
        <rFont val="Arial"/>
        <family val="0"/>
        <charset val="1"/>
      </rPr>
      <t xml:space="preserve">github.com/briantsaivc-web/finflow </t>
    </r>
    <r>
      <rPr>
        <i val="true"/>
        <sz val="9"/>
        <color rgb="FF666666"/>
        <rFont val="Noto Sans CJK SC"/>
        <family val="2"/>
      </rPr>
      <t xml:space="preserve">的 </t>
    </r>
    <r>
      <rPr>
        <i val="true"/>
        <sz val="9"/>
        <color rgb="FF666666"/>
        <rFont val="Arial"/>
        <family val="0"/>
        <charset val="1"/>
      </rPr>
      <t xml:space="preserve">src/data/packs/*.json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11 </t>
    </r>
    <r>
      <rPr>
        <i val="true"/>
        <sz val="9"/>
        <color rgb="FF666666"/>
        <rFont val="Noto Sans CJK SC"/>
        <family val="2"/>
      </rPr>
      <t xml:space="preserve">個卡包）｜產出日期 </t>
    </r>
    <r>
      <rPr>
        <i val="true"/>
        <sz val="9"/>
        <color rgb="FF666666"/>
        <rFont val="Arial"/>
        <family val="0"/>
        <charset val="1"/>
      </rPr>
      <t xml:space="preserve">2026-09-02</t>
    </r>
  </si>
  <si>
    <r>
      <rPr>
        <i val="true"/>
        <sz val="9"/>
        <color rgb="FF666666"/>
        <rFont val="Noto Sans CJK SC"/>
        <family val="2"/>
      </rPr>
      <t xml:space="preserve">金額單位一律「千元」（月薪 </t>
    </r>
    <r>
      <rPr>
        <i val="true"/>
        <sz val="9"/>
        <color rgb="FF666666"/>
        <rFont val="Arial"/>
        <family val="0"/>
        <charset val="1"/>
      </rPr>
      <t xml:space="preserve">30</t>
    </r>
    <r>
      <rPr>
        <i val="true"/>
        <sz val="9"/>
        <color rgb="FF666666"/>
        <rFont val="Noto Sans CJK SC"/>
        <family val="2"/>
      </rPr>
      <t xml:space="preserve">＝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萬元；房子 </t>
    </r>
    <r>
      <rPr>
        <i val="true"/>
        <sz val="9"/>
        <color rgb="FF666666"/>
        <rFont val="Arial"/>
        <family val="0"/>
        <charset val="1"/>
      </rPr>
      <t xml:space="preserve">1000</t>
    </r>
    <r>
      <rPr>
        <i val="true"/>
        <sz val="9"/>
        <color rgb="FF666666"/>
        <rFont val="Noto Sans CJK SC"/>
        <family val="2"/>
      </rPr>
      <t xml:space="preserve">＝</t>
    </r>
    <r>
      <rPr>
        <i val="true"/>
        <sz val="9"/>
        <color rgb="FF666666"/>
        <rFont val="Arial"/>
        <family val="0"/>
        <charset val="1"/>
      </rPr>
      <t xml:space="preserve">100 </t>
    </r>
    <r>
      <rPr>
        <i val="true"/>
        <sz val="9"/>
        <color rgb="FF666666"/>
        <rFont val="Noto Sans CJK SC"/>
        <family val="2"/>
      </rPr>
      <t xml:space="preserve">萬元），與遊戲畫面顯示一致。每張工作表第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列為欄名，第 </t>
    </r>
    <r>
      <rPr>
        <i val="true"/>
        <sz val="9"/>
        <color rgb="FF666666"/>
        <rFont val="Arial"/>
        <family val="0"/>
        <charset val="1"/>
      </rPr>
      <t xml:space="preserve">5 </t>
    </r>
    <r>
      <rPr>
        <i val="true"/>
        <sz val="9"/>
        <color rgb="FF666666"/>
        <rFont val="Noto Sans CJK SC"/>
        <family val="2"/>
      </rPr>
      <t xml:space="preserve">列起為資料，已開啟自動篩選。</t>
    </r>
  </si>
  <si>
    <t xml:space="preserve">工作表</t>
  </si>
  <si>
    <t xml:space="preserve">內容</t>
  </si>
  <si>
    <t xml:space="preserve">筆數（公式）</t>
  </si>
  <si>
    <t xml:space="preserve">說明</t>
  </si>
  <si>
    <t xml:space="preserve">職業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</si>
  <si>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種職業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</si>
  <si>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種職業。金額單位＝千元／月（月薪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萬）。「月結餘」為公式＝月薪−基本支出。</t>
    </r>
  </si>
  <si>
    <t xml:space="preserve">電腦玩家性格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</si>
  <si>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種 </t>
    </r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性格的決策權重（引擎 </t>
    </r>
    <r>
      <rPr>
        <sz val="10"/>
        <rFont val="Arial"/>
        <family val="0"/>
        <charset val="1"/>
      </rPr>
      <t xml:space="preserve">npc.* </t>
    </r>
    <r>
      <rPr>
        <sz val="10"/>
        <rFont val="Noto Sans CJK SC"/>
        <family val="2"/>
      </rPr>
      <t xml:space="preserve">直接讀這些值）</t>
    </r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</si>
  <si>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種 </t>
    </r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性格的決策權重（引擎 </t>
    </r>
    <r>
      <rPr>
        <sz val="10"/>
        <rFont val="Arial"/>
        <family val="0"/>
        <charset val="1"/>
      </rPr>
      <t xml:space="preserve">npc.* </t>
    </r>
    <r>
      <rPr>
        <sz val="10"/>
        <rFont val="Noto Sans CJK SC"/>
        <family val="2"/>
      </rPr>
      <t xml:space="preserve">直接讀這些值）。現金保留水位＝月支出的倍數。</t>
    </r>
  </si>
  <si>
    <t xml:space="preserve">夢想</t>
  </si>
  <si>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張夢想卡（開局選一張作為最終目標；踩到對應類別的地點免費得點）</t>
    </r>
  </si>
  <si>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張夢想卡（開局選一張作為最終目標；踩到對應類別的地點免費得點）。</t>
    </r>
  </si>
  <si>
    <t xml:space="preserve">股票設定</t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</si>
  <si>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檔股票的股性參數（</t>
    </r>
    <r>
      <rPr>
        <sz val="10"/>
        <rFont val="Arial"/>
        <family val="0"/>
        <charset val="1"/>
      </rPr>
      <t xml:space="preserve">S15b </t>
    </r>
    <r>
      <rPr>
        <sz val="10"/>
        <rFont val="Noto Sans CJK SC"/>
        <family val="2"/>
      </rPr>
      <t xml:space="preserve">四層股價模型）</t>
    </r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</si>
  <si>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檔股票的股性參數（</t>
    </r>
    <r>
      <rPr>
        <sz val="10"/>
        <rFont val="Arial"/>
        <family val="0"/>
        <charset val="1"/>
      </rPr>
      <t xml:space="preserve">S15b </t>
    </r>
    <r>
      <rPr>
        <sz val="10"/>
        <rFont val="Noto Sans CJK SC"/>
        <family val="2"/>
      </rPr>
      <t xml:space="preserve">四層股價模型）。面額單位＝千元／張。</t>
    </r>
  </si>
  <si>
    <t xml:space="preserve">股票掛單卡</t>
  </si>
  <si>
    <r>
      <rPr>
        <sz val="10"/>
        <rFont val="Arial"/>
        <family val="0"/>
        <charset val="1"/>
      </rPr>
      <t xml:space="preserve">ARCHIVED_STOCK</t>
    </r>
    <r>
      <rPr>
        <sz val="10"/>
        <rFont val="Noto Sans CJK SC"/>
        <family val="2"/>
      </rPr>
      <t xml:space="preserve">：市場卡開出的掛單價（現行版本股票以股市面板交易，這批卡為封存內容）</t>
    </r>
  </si>
  <si>
    <r>
      <rPr>
        <sz val="10"/>
        <rFont val="Arial"/>
        <family val="0"/>
        <charset val="1"/>
      </rPr>
      <t xml:space="preserve">ARCHIVED_STOCK</t>
    </r>
    <r>
      <rPr>
        <sz val="10"/>
        <rFont val="Noto Sans CJK SC"/>
        <family val="2"/>
      </rPr>
      <t xml:space="preserve">：市場卡開出的掛單價（現行版本股票以股市面板交易，這批卡為封存內容）。</t>
    </r>
  </si>
  <si>
    <t xml:space="preserve">機會卡</t>
  </si>
  <si>
    <r>
      <rPr>
        <sz val="10"/>
        <rFont val="Noto Sans CJK SC"/>
        <family val="2"/>
      </rPr>
      <t xml:space="preserve">小額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／大額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／特殊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（特殊要有人脈才抽得到）</t>
    </r>
  </si>
  <si>
    <r>
      <rPr>
        <sz val="10"/>
        <rFont val="Noto Sans CJK SC"/>
        <family val="2"/>
      </rPr>
      <t xml:space="preserve">小額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／大額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／特殊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（特殊要有人脈才抽得到）。金額單位＝千元。「年化報酬率」為公式：事業＝月淨利</t>
    </r>
    <r>
      <rPr>
        <sz val="10"/>
        <rFont val="Arial"/>
        <family val="0"/>
        <charset val="1"/>
      </rPr>
      <t xml:space="preserve">×12÷</t>
    </r>
    <r>
      <rPr>
        <sz val="10"/>
        <rFont val="Noto Sans CJK SC"/>
        <family val="2"/>
      </rPr>
      <t xml:space="preserve">價格；不動產＝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月租−月成本</t>
    </r>
    <r>
      <rPr>
        <sz val="10"/>
        <rFont val="Arial"/>
        <family val="0"/>
        <charset val="1"/>
      </rPr>
      <t xml:space="preserve">)×12÷</t>
    </r>
    <r>
      <rPr>
        <sz val="10"/>
        <rFont val="Noto Sans CJK SC"/>
        <family val="2"/>
      </rPr>
      <t xml:space="preserve">價格；新創無現金流不算。吸金盤（</t>
    </r>
    <r>
      <rPr>
        <sz val="10"/>
        <rFont val="Arial"/>
        <family val="0"/>
        <charset val="1"/>
      </rPr>
      <t xml:space="preserve">isScam</t>
    </r>
    <r>
      <rPr>
        <sz val="10"/>
        <rFont val="Noto Sans CJK SC"/>
        <family val="2"/>
      </rPr>
      <t xml:space="preserve">）到期整筆歸零。</t>
    </r>
  </si>
  <si>
    <t xml:space="preserve">人生事件卡</t>
  </si>
  <si>
    <r>
      <rPr>
        <sz val="10"/>
        <rFont val="Arial"/>
        <family val="0"/>
        <charset val="1"/>
      </rPr>
      <t xml:space="preserve">LIFE_EVENT</t>
    </r>
    <r>
      <rPr>
        <sz val="10"/>
        <rFont val="Noto Sans CJK SC"/>
        <family val="2"/>
      </rPr>
      <t xml:space="preserve">（含二選一 </t>
    </r>
    <r>
      <rPr>
        <sz val="10"/>
        <rFont val="Arial"/>
        <family val="0"/>
        <charset val="1"/>
      </rPr>
      <t xml:space="preserve">CHOICE</t>
    </r>
    <r>
      <rPr>
        <sz val="10"/>
        <rFont val="Noto Sans CJK SC"/>
        <family val="2"/>
      </rPr>
      <t xml:space="preserve">、自我投資 </t>
    </r>
    <r>
      <rPr>
        <sz val="10"/>
        <rFont val="Arial"/>
        <family val="0"/>
        <charset val="1"/>
      </rPr>
      <t xml:space="preserve">SELF_INVEST</t>
    </r>
    <r>
      <rPr>
        <sz val="10"/>
        <rFont val="Noto Sans CJK SC"/>
        <family val="2"/>
      </rPr>
      <t xml:space="preserve">、獨立董事邀請 </t>
    </r>
    <r>
      <rPr>
        <sz val="10"/>
        <rFont val="Arial"/>
        <family val="0"/>
        <charset val="1"/>
      </rPr>
      <t xml:space="preserve">SPECIAL</t>
    </r>
    <r>
      <rPr>
        <sz val="10"/>
        <rFont val="Noto Sans CJK SC"/>
        <family val="2"/>
      </rPr>
      <t xml:space="preserve">）＋ 職業事件 ＋ 夢想圈事件 </t>
    </r>
    <r>
      <rPr>
        <sz val="10"/>
        <rFont val="Arial"/>
        <family val="0"/>
        <charset val="1"/>
      </rPr>
      <t xml:space="preserve">OUTER_LIFE</t>
    </r>
  </si>
  <si>
    <r>
      <rPr>
        <sz val="10"/>
        <rFont val="Arial"/>
        <family val="0"/>
        <charset val="1"/>
      </rPr>
      <t xml:space="preserve">LIFE_EVENT</t>
    </r>
    <r>
      <rPr>
        <sz val="10"/>
        <rFont val="Noto Sans CJK SC"/>
        <family val="2"/>
      </rPr>
      <t xml:space="preserve">（含二選一 </t>
    </r>
    <r>
      <rPr>
        <sz val="10"/>
        <rFont val="Arial"/>
        <family val="0"/>
        <charset val="1"/>
      </rPr>
      <t xml:space="preserve">CHOICE</t>
    </r>
    <r>
      <rPr>
        <sz val="10"/>
        <rFont val="Noto Sans CJK SC"/>
        <family val="2"/>
      </rPr>
      <t xml:space="preserve">、自我投資 </t>
    </r>
    <r>
      <rPr>
        <sz val="10"/>
        <rFont val="Arial"/>
        <family val="0"/>
        <charset val="1"/>
      </rPr>
      <t xml:space="preserve">SELF_INVEST</t>
    </r>
    <r>
      <rPr>
        <sz val="10"/>
        <rFont val="Noto Sans CJK SC"/>
        <family val="2"/>
      </rPr>
      <t xml:space="preserve">、獨立董事邀請 </t>
    </r>
    <r>
      <rPr>
        <sz val="10"/>
        <rFont val="Arial"/>
        <family val="0"/>
        <charset val="1"/>
      </rPr>
      <t xml:space="preserve">SPECIAL</t>
    </r>
    <r>
      <rPr>
        <sz val="10"/>
        <rFont val="Noto Sans CJK SC"/>
        <family val="2"/>
      </rPr>
      <t xml:space="preserve">）＋ 職業事件 ＋ 夢想圈事件 </t>
    </r>
    <r>
      <rPr>
        <sz val="10"/>
        <rFont val="Arial"/>
        <family val="0"/>
        <charset val="1"/>
      </rPr>
      <t xml:space="preserve">OUTER_LIFE</t>
    </r>
    <r>
      <rPr>
        <sz val="10"/>
        <rFont val="Noto Sans CJK SC"/>
        <family val="2"/>
      </rPr>
      <t xml:space="preserve">。技能情境卡另列「學習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情境卡」。金額單位＝千元。</t>
    </r>
  </si>
  <si>
    <t xml:space="preserve">生活消費卡</t>
  </si>
  <si>
    <r>
      <rPr>
        <sz val="10"/>
        <rFont val="Arial"/>
        <family val="0"/>
        <charset val="1"/>
      </rPr>
      <t xml:space="preserve">LIFESTYLE 24 </t>
    </r>
    <r>
      <rPr>
        <sz val="10"/>
        <rFont val="Noto Sans CJK SC"/>
        <family val="2"/>
      </rPr>
      <t xml:space="preserve">張：踩到生活格抽</t>
    </r>
  </si>
  <si>
    <r>
      <rPr>
        <sz val="10"/>
        <rFont val="Arial"/>
        <family val="0"/>
        <charset val="1"/>
      </rPr>
      <t xml:space="preserve">LIFESTYLE 24 </t>
    </r>
    <r>
      <rPr>
        <sz val="10"/>
        <rFont val="Noto Sans CJK SC"/>
        <family val="2"/>
      </rPr>
      <t xml:space="preserve">張：踩到生活格抽。可選＝玩家可拒買；非可選＝直接扣款。金額單位＝千元。</t>
    </r>
  </si>
  <si>
    <t xml:space="preserve">市場與總經卡</t>
  </si>
  <si>
    <r>
      <rPr>
        <sz val="10"/>
        <rFont val="Arial"/>
        <family val="0"/>
        <charset val="1"/>
      </rPr>
      <t xml:space="preserve">MARKET 12 </t>
    </r>
    <r>
      <rPr>
        <sz val="10"/>
        <rFont val="Noto Sans CJK SC"/>
        <family val="2"/>
      </rPr>
      <t xml:space="preserve">張（踩市場格）＋ </t>
    </r>
    <r>
      <rPr>
        <sz val="10"/>
        <rFont val="Arial"/>
        <family val="0"/>
        <charset val="1"/>
      </rPr>
      <t xml:space="preserve">MACRO_EVENT 20 </t>
    </r>
    <r>
      <rPr>
        <sz val="10"/>
        <rFont val="Noto Sans CJK SC"/>
        <family val="2"/>
      </rPr>
      <t xml:space="preserve">張（景氣階段轉換時抽的政策／黑天鵝／台灣案例事件）</t>
    </r>
  </si>
  <si>
    <r>
      <rPr>
        <sz val="10"/>
        <rFont val="Arial"/>
        <family val="0"/>
        <charset val="1"/>
      </rPr>
      <t xml:space="preserve">MARKET 12 </t>
    </r>
    <r>
      <rPr>
        <sz val="10"/>
        <rFont val="Noto Sans CJK SC"/>
        <family val="2"/>
      </rPr>
      <t xml:space="preserve">張（踩市場格）＋ </t>
    </r>
    <r>
      <rPr>
        <sz val="10"/>
        <rFont val="Arial"/>
        <family val="0"/>
        <charset val="1"/>
      </rPr>
      <t xml:space="preserve">MACRO_EVENT 20 </t>
    </r>
    <r>
      <rPr>
        <sz val="10"/>
        <rFont val="Noto Sans CJK SC"/>
        <family val="2"/>
      </rPr>
      <t xml:space="preserve">張（景氣階段轉換時抽的政策／黑天鵝／台灣案例事件）。</t>
    </r>
  </si>
  <si>
    <t xml:space="preserve">品格帳本卡</t>
  </si>
  <si>
    <r>
      <rPr>
        <sz val="10"/>
        <rFont val="Arial"/>
        <family val="0"/>
        <charset val="1"/>
      </rPr>
      <t xml:space="preserve">LIFE_TAPESTRY 326 </t>
    </r>
    <r>
      <rPr>
        <sz val="10"/>
        <rFont val="Noto Sans CJK SC"/>
        <family val="2"/>
      </rPr>
      <t xml:space="preserve">張（</t>
    </r>
    <r>
      <rPr>
        <sz val="10"/>
        <rFont val="Arial"/>
        <family val="0"/>
        <charset val="1"/>
      </rPr>
      <t xml:space="preserve">M6 </t>
    </r>
    <r>
      <rPr>
        <sz val="10"/>
        <rFont val="Noto Sans CJK SC"/>
        <family val="2"/>
      </rPr>
      <t xml:space="preserve">品格帳本）：修養 </t>
    </r>
    <r>
      <rPr>
        <sz val="10"/>
        <rFont val="Arial"/>
        <family val="0"/>
        <charset val="1"/>
      </rPr>
      <t xml:space="preserve">CULTIVATE</t>
    </r>
    <r>
      <rPr>
        <sz val="10"/>
        <rFont val="Noto Sans CJK SC"/>
        <family val="2"/>
      </rPr>
      <t xml:space="preserve">／考驗 </t>
    </r>
    <r>
      <rPr>
        <sz val="10"/>
        <rFont val="Arial"/>
        <family val="0"/>
        <charset val="1"/>
      </rPr>
      <t xml:space="preserve">TRIAL</t>
    </r>
    <r>
      <rPr>
        <sz val="10"/>
        <rFont val="Noto Sans CJK SC"/>
        <family val="2"/>
      </rPr>
      <t xml:space="preserve">／日常 </t>
    </r>
    <r>
      <rPr>
        <sz val="10"/>
        <rFont val="Arial"/>
        <family val="0"/>
        <charset val="1"/>
      </rPr>
      <t xml:space="preserve">DAILY </t>
    </r>
    <r>
      <rPr>
        <sz val="10"/>
        <rFont val="Noto Sans CJK SC"/>
        <family val="2"/>
      </rPr>
      <t xml:space="preserve">等</t>
    </r>
  </si>
  <si>
    <r>
      <rPr>
        <sz val="10"/>
        <rFont val="Arial"/>
        <family val="0"/>
        <charset val="1"/>
      </rPr>
      <t xml:space="preserve">LIFE_TAPESTRY 326 </t>
    </r>
    <r>
      <rPr>
        <sz val="10"/>
        <rFont val="Noto Sans CJK SC"/>
        <family val="2"/>
      </rPr>
      <t xml:space="preserve">張（</t>
    </r>
    <r>
      <rPr>
        <sz val="10"/>
        <rFont val="Arial"/>
        <family val="0"/>
        <charset val="1"/>
      </rPr>
      <t xml:space="preserve">M6 </t>
    </r>
    <r>
      <rPr>
        <sz val="10"/>
        <rFont val="Noto Sans CJK SC"/>
        <family val="2"/>
      </rPr>
      <t xml:space="preserve">品格帳本）：修養 </t>
    </r>
    <r>
      <rPr>
        <sz val="10"/>
        <rFont val="Arial"/>
        <family val="0"/>
        <charset val="1"/>
      </rPr>
      <t xml:space="preserve">CULTIVATE</t>
    </r>
    <r>
      <rPr>
        <sz val="10"/>
        <rFont val="Noto Sans CJK SC"/>
        <family val="2"/>
      </rPr>
      <t xml:space="preserve">／考驗 </t>
    </r>
    <r>
      <rPr>
        <sz val="10"/>
        <rFont val="Arial"/>
        <family val="0"/>
        <charset val="1"/>
      </rPr>
      <t xml:space="preserve">TRIAL</t>
    </r>
    <r>
      <rPr>
        <sz val="10"/>
        <rFont val="Noto Sans CJK SC"/>
        <family val="2"/>
      </rPr>
      <t xml:space="preserve">／日常 </t>
    </r>
    <r>
      <rPr>
        <sz val="10"/>
        <rFont val="Arial"/>
        <family val="0"/>
        <charset val="1"/>
      </rPr>
      <t xml:space="preserve">DAILY </t>
    </r>
    <r>
      <rPr>
        <sz val="10"/>
        <rFont val="Noto Sans CJK SC"/>
        <family val="2"/>
      </rPr>
      <t xml:space="preserve">等。每局抽樣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。金額單位＝千元。</t>
    </r>
  </si>
  <si>
    <t xml:space="preserve">人生商城</t>
  </si>
  <si>
    <r>
      <rPr>
        <sz val="10"/>
        <rFont val="Arial"/>
        <family val="0"/>
        <charset val="1"/>
      </rPr>
      <t xml:space="preserve">MALL 26 </t>
    </r>
    <r>
      <rPr>
        <sz val="10"/>
        <rFont val="Noto Sans CJK SC"/>
        <family val="2"/>
      </rPr>
      <t xml:space="preserve">件</t>
    </r>
  </si>
  <si>
    <r>
      <rPr>
        <sz val="10"/>
        <rFont val="Arial"/>
        <family val="0"/>
        <charset val="1"/>
      </rPr>
      <t xml:space="preserve">MALL 26 </t>
    </r>
    <r>
      <rPr>
        <sz val="10"/>
        <rFont val="Noto Sans CJK SC"/>
        <family val="2"/>
      </rPr>
      <t xml:space="preserve">件。規則：只在自己回合買、每輪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件、同件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輪冷卻、重複購買幸福感遞減。「月薪倍數」有值者價格＝月薪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倍數（無薪時用固定價）。金額單位＝千元。</t>
    </r>
  </si>
  <si>
    <r>
      <rPr>
        <sz val="10"/>
        <rFont val="Noto Sans CJK SC"/>
        <family val="2"/>
      </rPr>
      <t xml:space="preserve">學習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技能</t>
    </r>
  </si>
  <si>
    <r>
      <rPr>
        <sz val="10"/>
        <rFont val="Arial"/>
        <family val="0"/>
        <charset val="1"/>
      </rPr>
      <t xml:space="preserve">SKILL 18 </t>
    </r>
    <r>
      <rPr>
        <sz val="10"/>
        <rFont val="Noto Sans CJK SC"/>
        <family val="2"/>
      </rPr>
      <t xml:space="preserve">種（</t>
    </r>
    <r>
      <rPr>
        <sz val="10"/>
        <rFont val="Arial"/>
        <family val="0"/>
        <charset val="1"/>
      </rPr>
      <t xml:space="preserve">M8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</si>
  <si>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SKILL 18 </t>
    </r>
    <r>
      <rPr>
        <sz val="10"/>
        <rFont val="Noto Sans CJK SC"/>
        <family val="2"/>
      </rPr>
      <t xml:space="preserve">種（</t>
    </r>
    <r>
      <rPr>
        <sz val="10"/>
        <rFont val="Arial"/>
        <family val="0"/>
        <charset val="1"/>
      </rPr>
      <t xml:space="preserve">M8</t>
    </r>
    <r>
      <rPr>
        <sz val="10"/>
        <rFont val="Noto Sans CJK SC"/>
        <family val="2"/>
      </rPr>
      <t xml:space="preserve">）。每局抽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張進場（抽到高階會把先修一起帶進來）。主動進修多花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輪；被動取得學費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折。金額單位＝千元。</t>
    </r>
  </si>
  <si>
    <r>
      <rPr>
        <sz val="10"/>
        <rFont val="Noto Sans CJK SC"/>
        <family val="2"/>
      </rPr>
      <t xml:space="preserve">學習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情境卡</t>
    </r>
  </si>
  <si>
    <r>
      <rPr>
        <sz val="10"/>
        <rFont val="Arial"/>
        <family val="0"/>
        <charset val="1"/>
      </rPr>
      <t xml:space="preserve">SKILL_GATE 12 </t>
    </r>
    <r>
      <rPr>
        <sz val="10"/>
        <rFont val="Noto Sans CJK SC"/>
        <family val="2"/>
      </rPr>
      <t xml:space="preserve">張：第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輪後出現，每局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張，只抽「對應技能本局有進場」的情境</t>
    </r>
  </si>
  <si>
    <r>
      <rPr>
        <sz val="10"/>
        <rFont val="Arial"/>
        <family val="0"/>
        <charset val="1"/>
      </rPr>
      <t xml:space="preserve">SKILL_GATE 12 </t>
    </r>
    <r>
      <rPr>
        <sz val="10"/>
        <rFont val="Noto Sans CJK SC"/>
        <family val="2"/>
      </rPr>
      <t xml:space="preserve">張：第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輪後出現，每局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張，只抽「對應技能本局有進場」的情境。有技能兌現、沒有就錯過。</t>
    </r>
  </si>
  <si>
    <r>
      <rPr>
        <sz val="10"/>
        <rFont val="Noto Sans CJK SC"/>
        <family val="2"/>
      </rPr>
      <t xml:space="preserve">學習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數位資產</t>
    </r>
  </si>
  <si>
    <r>
      <rPr>
        <sz val="10"/>
        <rFont val="Arial"/>
        <family val="0"/>
        <charset val="1"/>
      </rPr>
      <t xml:space="preserve">DIGITAL 6 </t>
    </r>
    <r>
      <rPr>
        <sz val="10"/>
        <rFont val="Noto Sans CJK SC"/>
        <family val="2"/>
      </rPr>
      <t xml:space="preserve">種，每局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張，最多同時經營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</t>
    </r>
  </si>
  <si>
    <r>
      <rPr>
        <sz val="10"/>
        <rFont val="Arial"/>
        <family val="0"/>
        <charset val="1"/>
      </rPr>
      <t xml:space="preserve">DIGITAL 6 </t>
    </r>
    <r>
      <rPr>
        <sz val="10"/>
        <rFont val="Noto Sans CJK SC"/>
        <family val="2"/>
      </rPr>
      <t xml:space="preserve">種，每局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張，最多同時經營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個。有對應技能（或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系統架構）＝專業：門檻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、爆紅 </t>
    </r>
    <r>
      <rPr>
        <sz val="10"/>
        <rFont val="Arial"/>
        <family val="0"/>
        <charset val="1"/>
      </rPr>
      <t xml:space="preserve">18%</t>
    </r>
    <r>
      <rPr>
        <sz val="10"/>
        <rFont val="Noto Sans CJK SC"/>
        <family val="2"/>
      </rPr>
      <t xml:space="preserve">；沒有＝門檻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、爆紅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做白工。金額單位＝千元。</t>
    </r>
  </si>
  <si>
    <t xml:space="preserve">徽章</t>
  </si>
  <si>
    <r>
      <rPr>
        <sz val="10"/>
        <rFont val="Arial"/>
        <family val="0"/>
        <charset val="1"/>
      </rPr>
      <t xml:space="preserve">BADGE 29 </t>
    </r>
    <r>
      <rPr>
        <sz val="10"/>
        <rFont val="Noto Sans CJK SC"/>
        <family val="2"/>
      </rPr>
      <t xml:space="preserve">種：復盤報告依 </t>
    </r>
    <r>
      <rPr>
        <sz val="10"/>
        <rFont val="Arial"/>
        <family val="0"/>
        <charset val="1"/>
      </rPr>
      <t xml:space="preserve">ns.badges.rules </t>
    </r>
    <r>
      <rPr>
        <sz val="10"/>
        <rFont val="Noto Sans CJK SC"/>
        <family val="2"/>
      </rPr>
      <t xml:space="preserve">的純函式判定</t>
    </r>
  </si>
  <si>
    <r>
      <rPr>
        <sz val="10"/>
        <rFont val="Arial"/>
        <family val="0"/>
        <charset val="1"/>
      </rPr>
      <t xml:space="preserve">BADGE 29 </t>
    </r>
    <r>
      <rPr>
        <sz val="10"/>
        <rFont val="Noto Sans CJK SC"/>
        <family val="2"/>
      </rPr>
      <t xml:space="preserve">種：復盤報告依 </t>
    </r>
    <r>
      <rPr>
        <sz val="10"/>
        <rFont val="Arial"/>
        <family val="0"/>
        <charset val="1"/>
      </rPr>
      <t xml:space="preserve">ns.badges.rules </t>
    </r>
    <r>
      <rPr>
        <sz val="10"/>
        <rFont val="Noto Sans CJK SC"/>
        <family val="2"/>
      </rPr>
      <t xml:space="preserve">的純函式判定。</t>
    </r>
  </si>
  <si>
    <t xml:space="preserve">盤面</t>
  </si>
  <si>
    <r>
      <rPr>
        <sz val="10"/>
        <rFont val="Noto Sans CJK SC"/>
        <family val="2"/>
      </rPr>
      <t xml:space="preserve">內圈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格＋外圈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格的格子類型</t>
    </r>
  </si>
  <si>
    <r>
      <rPr>
        <sz val="10"/>
        <rFont val="Noto Sans CJK SC"/>
        <family val="2"/>
      </rPr>
      <t xml:space="preserve">內圈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格＋外圈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格的格子類型。</t>
    </r>
  </si>
  <si>
    <t xml:space="preserve">合計</t>
  </si>
  <si>
    <t xml:space="preserve">牌堆對照（卡片類工作表包含的原始牌堆）：</t>
  </si>
  <si>
    <r>
      <rPr>
        <sz val="10"/>
        <rFont val="Arial"/>
        <family val="0"/>
        <charset val="1"/>
      </rPr>
      <t xml:space="preserve">OPPORTUNITY_SMALL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OPPORTUNITY_LARGE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OPPORTUNITY_SPECIAL</t>
    </r>
  </si>
  <si>
    <r>
      <rPr>
        <sz val="10"/>
        <rFont val="Arial"/>
        <family val="0"/>
        <charset val="1"/>
      </rPr>
      <t xml:space="preserve">LIFE_EVENT</t>
    </r>
    <r>
      <rPr>
        <sz val="10"/>
        <rFont val="Noto Sans CJK SC"/>
        <family val="2"/>
      </rPr>
      <t xml:space="preserve">（不含 </t>
    </r>
    <r>
      <rPr>
        <sz val="10"/>
        <rFont val="Arial"/>
        <family val="0"/>
        <charset val="1"/>
      </rPr>
      <t xml:space="preserve">SKILL_GATE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PROFESSION_EVENT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OUTER_LIFE</t>
    </r>
  </si>
  <si>
    <t xml:space="preserve">LIFESTYLE</t>
  </si>
  <si>
    <r>
      <rPr>
        <sz val="10"/>
        <rFont val="Arial"/>
        <family val="0"/>
        <charset val="1"/>
      </rPr>
      <t xml:space="preserve">MARKET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MACRO_EVENT</t>
    </r>
  </si>
  <si>
    <t xml:space="preserve">LIFE_TAPESTRY</t>
  </si>
  <si>
    <t xml:space="preserve">MALL</t>
  </si>
  <si>
    <r>
      <rPr>
        <sz val="10"/>
        <rFont val="Noto Sans CJK SC"/>
        <family val="2"/>
      </rPr>
      <t xml:space="preserve">學習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技能／情境卡／數位資產</t>
    </r>
  </si>
  <si>
    <r>
      <rPr>
        <sz val="10"/>
        <rFont val="Arial"/>
        <family val="0"/>
        <charset val="1"/>
      </rPr>
      <t xml:space="preserve">SKILL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LIFE_EVENT </t>
    </r>
    <r>
      <rPr>
        <sz val="10"/>
        <rFont val="Noto Sans CJK SC"/>
        <family val="2"/>
      </rPr>
      <t xml:space="preserve">中的 </t>
    </r>
    <r>
      <rPr>
        <sz val="10"/>
        <rFont val="Arial"/>
        <family val="0"/>
        <charset val="1"/>
      </rPr>
      <t xml:space="preserve">SKILL_GATE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DIGITAL</t>
    </r>
  </si>
  <si>
    <t xml:space="preserve">BADGE</t>
  </si>
  <si>
    <t xml:space="preserve">DREAM</t>
  </si>
  <si>
    <t xml:space="preserve">ARCHIVED_STOCK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</si>
  <si>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內容盤點｜職業</t>
    </r>
  </si>
  <si>
    <r>
      <rPr>
        <i val="true"/>
        <sz val="9"/>
        <color rgb="FF666666"/>
        <rFont val="Arial"/>
        <family val="0"/>
        <charset val="1"/>
      </rPr>
      <t xml:space="preserve">20 </t>
    </r>
    <r>
      <rPr>
        <i val="true"/>
        <sz val="9"/>
        <color rgb="FF666666"/>
        <rFont val="Noto Sans CJK SC"/>
        <family val="2"/>
      </rPr>
      <t xml:space="preserve">種職業。金額單位＝千元／月（月薪 </t>
    </r>
    <r>
      <rPr>
        <i val="true"/>
        <sz val="9"/>
        <color rgb="FF666666"/>
        <rFont val="Arial"/>
        <family val="0"/>
        <charset val="1"/>
      </rPr>
      <t xml:space="preserve">30</t>
    </r>
    <r>
      <rPr>
        <i val="true"/>
        <sz val="9"/>
        <color rgb="FF666666"/>
        <rFont val="Noto Sans CJK SC"/>
        <family val="2"/>
      </rPr>
      <t xml:space="preserve">＝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萬）。「月結餘」為公式＝月薪−基本支出。</t>
    </r>
  </si>
  <si>
    <t xml:space="preserve">id</t>
  </si>
  <si>
    <t xml:space="preserve">分類</t>
  </si>
  <si>
    <t xml:space="preserve">月薪</t>
  </si>
  <si>
    <t xml:space="preserve">基本月支出</t>
  </si>
  <si>
    <t xml:space="preserve">月結餘（公式）</t>
  </si>
  <si>
    <t xml:space="preserve">每位小孩月支出</t>
  </si>
  <si>
    <t xml:space="preserve">起始現金</t>
  </si>
  <si>
    <t xml:space="preserve">起始負債</t>
  </si>
  <si>
    <t xml:space="preserve">起始資產</t>
  </si>
  <si>
    <t xml:space="preserve">薪資波動</t>
  </si>
  <si>
    <t xml:space="preserve">職業事件</t>
  </si>
  <si>
    <t xml:space="preserve">模組需求</t>
  </si>
  <si>
    <t xml:space="preserve">備註</t>
  </si>
  <si>
    <t xml:space="preserve">來源檔</t>
  </si>
  <si>
    <t xml:space="preserve">PRO_CLERK</t>
  </si>
  <si>
    <t xml:space="preserve">超商正職店員</t>
  </si>
  <si>
    <t xml:space="preserve">服務</t>
  </si>
  <si>
    <t xml:space="preserve">貼近基本工資的生存局</t>
  </si>
  <si>
    <t xml:space="preserve">base.json</t>
  </si>
  <si>
    <t xml:space="preserve">PRO_FARMER</t>
  </si>
  <si>
    <t xml:space="preserve">青農（承租務農）</t>
  </si>
  <si>
    <t xml:space="preserve">農</t>
  </si>
  <si>
    <r>
      <rPr>
        <sz val="10"/>
        <rFont val="Noto Sans CJK SC"/>
        <family val="2"/>
      </rPr>
      <t xml:space="preserve">農機貸 本金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0.015</t>
    </r>
  </si>
  <si>
    <t xml:space="preserve">看天吃飯；低支出是護城河</t>
  </si>
  <si>
    <t xml:space="preserve">PRO_TECHOP</t>
  </si>
  <si>
    <t xml:space="preserve">工廠技術員</t>
  </si>
  <si>
    <t xml:space="preserve">工</t>
  </si>
  <si>
    <r>
      <rPr>
        <sz val="10"/>
        <rFont val="Noto Sans CJK SC"/>
        <family val="2"/>
      </rPr>
      <t xml:space="preserve">機車貸 本金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0.045</t>
    </r>
  </si>
  <si>
    <t xml:space="preserve">穩定小盈餘，翻身靠紀律</t>
  </si>
  <si>
    <t xml:space="preserve">PRO_DELIVERY</t>
  </si>
  <si>
    <t xml:space="preserve">外送員</t>
  </si>
  <si>
    <t xml:space="preserve">低薪低支出，靠小額機會翻身</t>
  </si>
  <si>
    <t xml:space="preserve">PRO_MKT</t>
  </si>
  <si>
    <t xml:space="preserve">行銷企劃專員</t>
  </si>
  <si>
    <t xml:space="preserve">商管</t>
  </si>
  <si>
    <r>
      <rPr>
        <sz val="10"/>
        <rFont val="Noto Sans CJK SC"/>
        <family val="2"/>
      </rPr>
      <t xml:space="preserve">學貸 本金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0.018</t>
    </r>
  </si>
  <si>
    <r>
      <rPr>
        <sz val="10"/>
        <rFont val="Arial"/>
        <family val="0"/>
        <charset val="1"/>
      </rPr>
      <t xml:space="preserve">BBA </t>
    </r>
    <r>
      <rPr>
        <sz val="10"/>
        <rFont val="Noto Sans CJK SC"/>
        <family val="2"/>
      </rPr>
      <t xml:space="preserve">最大宗出路</t>
    </r>
  </si>
  <si>
    <t xml:space="preserve">PRO_AUDITOR</t>
  </si>
  <si>
    <t xml:space="preserve">四大事務所查帳員</t>
  </si>
  <si>
    <r>
      <rPr>
        <sz val="10"/>
        <rFont val="Noto Sans CJK SC"/>
        <family val="2"/>
      </rPr>
      <t xml:space="preserve">學貸 本金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0.018</t>
    </r>
  </si>
  <si>
    <t xml:space="preserve">PE_CPA_EXAM</t>
  </si>
  <si>
    <r>
      <rPr>
        <sz val="10"/>
        <rFont val="Noto Sans CJK SC"/>
        <family val="2"/>
      </rPr>
      <t xml:space="preserve">考照可跳級加薪 </t>
    </r>
    <r>
      <rPr>
        <sz val="10"/>
        <rFont val="Arial"/>
        <family val="0"/>
        <charset val="1"/>
      </rPr>
      <t xml:space="preserve">40%</t>
    </r>
  </si>
  <si>
    <t xml:space="preserve">PRO_NURSE</t>
  </si>
  <si>
    <t xml:space="preserve">護理師</t>
  </si>
  <si>
    <t xml:space="preserve">醫療</t>
  </si>
  <si>
    <r>
      <rPr>
        <sz val="10"/>
        <rFont val="Noto Sans CJK SC"/>
        <family val="2"/>
      </rPr>
      <t xml:space="preserve">學貸 本金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0.018</t>
    </r>
  </si>
  <si>
    <t xml:space="preserve">均衡入門</t>
  </si>
  <si>
    <t xml:space="preserve">PRO_CIVIL</t>
  </si>
  <si>
    <t xml:space="preserve">公務員</t>
  </si>
  <si>
    <t xml:space="preserve">穩定但天花板低</t>
  </si>
  <si>
    <t xml:space="preserve">PRO_BANKER</t>
  </si>
  <si>
    <t xml:space="preserve">銀行理專</t>
  </si>
  <si>
    <t xml:space="preserve">底薪加佣金，先體驗浮動收入</t>
  </si>
  <si>
    <t xml:space="preserve">PRO_PLUMBER</t>
  </si>
  <si>
    <t xml:space="preserve">水電師傅（自營）</t>
  </si>
  <si>
    <r>
      <rPr>
        <sz val="10"/>
        <rFont val="Noto Sans CJK SC"/>
        <family val="2"/>
      </rPr>
      <t xml:space="preserve">工程車貸 本金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0.035</t>
    </r>
  </si>
  <si>
    <t xml:space="preserve">接案制，無雇主退休金</t>
  </si>
  <si>
    <t xml:space="preserve">PRO_DATA</t>
  </si>
  <si>
    <t xml:space="preserve">資料分析師</t>
  </si>
  <si>
    <t xml:space="preserve">程式與商管的交集</t>
  </si>
  <si>
    <t xml:space="preserve">PRO_ECOM</t>
  </si>
  <si>
    <t xml:space="preserve">電商營運經理</t>
  </si>
  <si>
    <t xml:space="preserve">旺季獎金淡季平</t>
  </si>
  <si>
    <t xml:space="preserve">PRO_ENGINEER</t>
  </si>
  <si>
    <t xml:space="preserve">軟體工程師</t>
  </si>
  <si>
    <t xml:space="preserve">科技</t>
  </si>
  <si>
    <t xml:space="preserve">標準局</t>
  </si>
  <si>
    <t xml:space="preserve">PRO_FOOD</t>
  </si>
  <si>
    <t xml:space="preserve">小吃店老闆</t>
  </si>
  <si>
    <t xml:space="preserve">商</t>
  </si>
  <si>
    <r>
      <rPr>
        <sz val="10"/>
        <rFont val="Noto Sans CJK SC"/>
        <family val="2"/>
      </rPr>
      <t xml:space="preserve">創業貸 本金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0.025</t>
    </r>
  </si>
  <si>
    <t xml:space="preserve">休息就沒有收入</t>
  </si>
  <si>
    <t xml:space="preserve">PRO_SALES</t>
  </si>
  <si>
    <t xml:space="preserve">業務經理</t>
  </si>
  <si>
    <r>
      <rPr>
        <sz val="10"/>
        <rFont val="Noto Sans CJK SC"/>
        <family val="2"/>
      </rPr>
      <t xml:space="preserve">車貸 本金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0.035</t>
    </r>
    <r>
      <rPr>
        <sz val="10"/>
        <rFont val="Noto Sans CJK SC"/>
        <family val="2"/>
      </rPr>
      <t xml:space="preserve">；信用卡循環 本金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0.15</t>
    </r>
  </si>
  <si>
    <t xml:space="preserve">高薪高支出的陷阱教材</t>
  </si>
  <si>
    <t xml:space="preserve">PRO_PM</t>
  </si>
  <si>
    <t xml:space="preserve">產品經理</t>
  </si>
  <si>
    <r>
      <rPr>
        <sz val="10"/>
        <rFont val="Noto Sans CJK SC"/>
        <family val="2"/>
      </rPr>
      <t xml:space="preserve">學貸與在職進修貸 本金 </t>
    </r>
    <r>
      <rPr>
        <sz val="10"/>
        <rFont val="Arial"/>
        <family val="0"/>
        <charset val="1"/>
      </rPr>
      <t xml:space="preserve">350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0.018</t>
    </r>
  </si>
  <si>
    <t xml:space="preserve">程式與管理的交集</t>
  </si>
  <si>
    <t xml:space="preserve">PRO_SEMI</t>
  </si>
  <si>
    <t xml:space="preserve">半導體工程師</t>
  </si>
  <si>
    <t xml:space="preserve">PE_SEMI_BONUS</t>
  </si>
  <si>
    <t xml:space="preserve">年終分紅是存量不是流量</t>
  </si>
  <si>
    <t xml:space="preserve">PRO_CONSULT</t>
  </si>
  <si>
    <t xml:space="preserve">外商管理顧問</t>
  </si>
  <si>
    <r>
      <rPr>
        <sz val="10"/>
        <rFont val="Arial"/>
        <family val="0"/>
        <charset val="1"/>
      </rPr>
      <t xml:space="preserve">MBA </t>
    </r>
    <r>
      <rPr>
        <sz val="10"/>
        <rFont val="Noto Sans CJK SC"/>
        <family val="2"/>
      </rPr>
      <t xml:space="preserve">留學貸 本金 </t>
    </r>
    <r>
      <rPr>
        <sz val="10"/>
        <rFont val="Arial"/>
        <family val="0"/>
        <charset val="1"/>
      </rPr>
      <t xml:space="preserve">1500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0.032</t>
    </r>
  </si>
  <si>
    <t xml:space="preserve">開局淨值為負：高薪先還債</t>
  </si>
  <si>
    <t xml:space="preserve">PRO_FOUNDER</t>
  </si>
  <si>
    <t xml:space="preserve">新創創辦人</t>
  </si>
  <si>
    <r>
      <rPr>
        <sz val="10"/>
        <rFont val="Noto Sans CJK SC"/>
        <family val="2"/>
      </rPr>
      <t xml:space="preserve">創業貸 本金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0.025</t>
    </r>
  </si>
  <si>
    <r>
      <rPr>
        <sz val="10"/>
        <rFont val="Arial"/>
        <family val="0"/>
        <charset val="1"/>
      </rPr>
      <t xml:space="preserve">[{"kind": "STARTUP", "cardId": "OWN_STARTUP", "name": "</t>
    </r>
    <r>
      <rPr>
        <sz val="10"/>
        <rFont val="Noto Sans CJK SC"/>
        <family val="2"/>
      </rPr>
      <t xml:space="preserve">我的公司</t>
    </r>
    <r>
      <rPr>
        <sz val="10"/>
        <rFont val="Arial"/>
        <family val="0"/>
        <charset val="1"/>
      </rPr>
      <t xml:space="preserve">", "costBasis": 0, "marketValue": 1500, "equityPct": 0.3, "postMoney": 5000, "monthlyIncome": 0, "flags": {"isOwnCompany": true}}]</t>
    </r>
  </si>
  <si>
    <t xml:space="preserve">M3</t>
  </si>
  <si>
    <t xml:space="preserve">薪水最低，但持有自己公司三成股權</t>
  </si>
  <si>
    <t xml:space="preserve">PRO_DOCTOR</t>
  </si>
  <si>
    <t xml:space="preserve">主治醫師</t>
  </si>
  <si>
    <r>
      <rPr>
        <sz val="10"/>
        <rFont val="Noto Sans CJK SC"/>
        <family val="2"/>
      </rPr>
      <t xml:space="preserve">學貸 本金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0.018</t>
    </r>
    <r>
      <rPr>
        <sz val="10"/>
        <rFont val="Noto Sans CJK SC"/>
        <family val="2"/>
      </rPr>
      <t xml:space="preserve">；自住宅房貸 本金 </t>
    </r>
    <r>
      <rPr>
        <sz val="10"/>
        <rFont val="Arial"/>
        <family val="0"/>
        <charset val="1"/>
      </rPr>
      <t xml:space="preserve">12000</t>
    </r>
    <r>
      <rPr>
        <sz val="10"/>
        <rFont val="Noto Sans CJK SC"/>
        <family val="2"/>
      </rPr>
      <t xml:space="preserve">｜年利率 </t>
    </r>
    <r>
      <rPr>
        <sz val="10"/>
        <rFont val="Arial"/>
        <family val="0"/>
        <charset val="1"/>
      </rPr>
      <t xml:space="preserve">0.022</t>
    </r>
    <r>
      <rPr>
        <sz val="10"/>
        <rFont val="Noto Sans CJK SC"/>
        <family val="2"/>
      </rPr>
      <t xml:space="preserve">｜機動</t>
    </r>
  </si>
  <si>
    <t xml:space="preserve">自住宅不入資產欄，只留負債與月付息</t>
  </si>
  <si>
    <t xml:space="preserve">合計／平均</t>
  </si>
  <si>
    <t xml:space="preserve">註：合計列為平均值（公式）。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</si>
  <si>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內容盤點｜電腦玩家性格</t>
    </r>
  </si>
  <si>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種 </t>
    </r>
    <r>
      <rPr>
        <i val="true"/>
        <sz val="9"/>
        <color rgb="FF666666"/>
        <rFont val="Arial"/>
        <family val="0"/>
        <charset val="1"/>
      </rPr>
      <t xml:space="preserve">NPC </t>
    </r>
    <r>
      <rPr>
        <i val="true"/>
        <sz val="9"/>
        <color rgb="FF666666"/>
        <rFont val="Noto Sans CJK SC"/>
        <family val="2"/>
      </rPr>
      <t xml:space="preserve">性格的決策權重（引擎 </t>
    </r>
    <r>
      <rPr>
        <i val="true"/>
        <sz val="9"/>
        <color rgb="FF666666"/>
        <rFont val="Arial"/>
        <family val="0"/>
        <charset val="1"/>
      </rPr>
      <t xml:space="preserve">npc.* </t>
    </r>
    <r>
      <rPr>
        <i val="true"/>
        <sz val="9"/>
        <color rgb="FF666666"/>
        <rFont val="Noto Sans CJK SC"/>
        <family val="2"/>
      </rPr>
      <t xml:space="preserve">直接讀這些值）。現金保留水位＝月支出的倍數。</t>
    </r>
  </si>
  <si>
    <t xml:space="preserve">名稱</t>
  </si>
  <si>
    <t xml:space="preserve">顏色</t>
  </si>
  <si>
    <r>
      <rPr>
        <b val="true"/>
        <sz val="10"/>
        <color rgb="FFFFFFFF"/>
        <rFont val="Noto Sans CJK SC"/>
        <family val="2"/>
      </rPr>
      <t xml:space="preserve">現金保留水位（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月支出）</t>
    </r>
  </si>
  <si>
    <t xml:space="preserve">貸款成數上限</t>
  </si>
  <si>
    <r>
      <rPr>
        <b val="true"/>
        <sz val="10"/>
        <color rgb="FFFFFFFF"/>
        <rFont val="Noto Sans CJK SC"/>
        <family val="2"/>
      </rPr>
      <t xml:space="preserve">現金流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成本權重</t>
    </r>
  </si>
  <si>
    <t xml:space="preserve">資本利得偏好</t>
  </si>
  <si>
    <t xml:space="preserve">新創偏好</t>
  </si>
  <si>
    <t xml:space="preserve">買享樂卡機率</t>
  </si>
  <si>
    <t xml:space="preserve">修品格機率</t>
  </si>
  <si>
    <t xml:space="preserve">NPC_SAFE</t>
  </si>
  <si>
    <t xml:space="preserve">穩健阿姨</t>
  </si>
  <si>
    <t xml:space="preserve">#35C4A8</t>
  </si>
  <si>
    <t xml:space="preserve">NPC_LEVER</t>
  </si>
  <si>
    <t xml:space="preserve">槓桿哥</t>
  </si>
  <si>
    <t xml:space="preserve">#F0803C</t>
  </si>
  <si>
    <t xml:space="preserve">NPC_VC</t>
  </si>
  <si>
    <t xml:space="preserve">風投弟</t>
  </si>
  <si>
    <t xml:space="preserve">#B45FD0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</si>
  <si>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內容盤點｜夢想</t>
    </r>
  </si>
  <si>
    <r>
      <rPr>
        <i val="true"/>
        <sz val="9"/>
        <color rgb="FF666666"/>
        <rFont val="Arial"/>
        <family val="0"/>
        <charset val="1"/>
      </rPr>
      <t xml:space="preserve">8 </t>
    </r>
    <r>
      <rPr>
        <i val="true"/>
        <sz val="9"/>
        <color rgb="FF666666"/>
        <rFont val="Noto Sans CJK SC"/>
        <family val="2"/>
      </rPr>
      <t xml:space="preserve">張夢想卡（開局選一張作為最終目標；踩到對應類別的地點免費得點）。</t>
    </r>
  </si>
  <si>
    <t xml:space="preserve">類別</t>
  </si>
  <si>
    <t xml:space="preserve">單位敘述</t>
  </si>
  <si>
    <t xml:space="preserve">完成敘述</t>
  </si>
  <si>
    <t xml:space="preserve">每月維持費</t>
  </si>
  <si>
    <t xml:space="preserve">情境</t>
  </si>
  <si>
    <t xml:space="preserve">里程碑</t>
  </si>
  <si>
    <t xml:space="preserve">標籤</t>
  </si>
  <si>
    <t xml:space="preserve">DREAM_STARS</t>
  </si>
  <si>
    <t xml:space="preserve">摘下二十顆米其林星</t>
  </si>
  <si>
    <t xml:space="preserve">TASTE</t>
  </si>
  <si>
    <t xml:space="preserve">顆星</t>
  </si>
  <si>
    <t xml:space="preserve">把味覺的記憶排成一條銀河。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</si>
  <si>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東京・鮨 さいとう：第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顆星入袋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巴斯克海岸・</t>
    </r>
    <r>
      <rPr>
        <sz val="10"/>
        <rFont val="Arial"/>
        <family val="0"/>
        <charset val="1"/>
      </rPr>
      <t xml:space="preserve">Asador Etxebarri</t>
    </r>
    <r>
      <rPr>
        <sz val="10"/>
        <rFont val="Noto Sans CJK SC"/>
        <family val="2"/>
      </rPr>
      <t xml:space="preserve">：柴燒的極致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香港・大班樓：花雕蒸蟹的那一夜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哥本哈根・</t>
    </r>
    <r>
      <rPr>
        <sz val="10"/>
        <rFont val="Arial"/>
        <family val="0"/>
        <charset val="1"/>
      </rPr>
      <t xml:space="preserve">Geranium</t>
    </r>
    <r>
      <rPr>
        <sz val="10"/>
        <rFont val="Noto Sans CJK SC"/>
        <family val="2"/>
      </rPr>
      <t xml:space="preserve">：北歐的森林上桌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台北・態芮：最後四顆星，圓滿二十</t>
    </r>
    <r>
      <rPr>
        <sz val="10"/>
        <rFont val="Arial"/>
        <family val="0"/>
        <charset val="1"/>
      </rPr>
      <t xml:space="preserve">"]</t>
    </r>
  </si>
  <si>
    <t xml:space="preserve">food</t>
  </si>
  <si>
    <t xml:space="preserve">DREAM_SHOPS</t>
  </si>
  <si>
    <t xml:space="preserve">環島吃遍一百家老店</t>
  </si>
  <si>
    <t xml:space="preserve">家</t>
  </si>
  <si>
    <t xml:space="preserve">每一碗湯裡都有一個小鎮。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</si>
  <si>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台南・阿堂鹹粥：清晨五點的第一碗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鹿港・肉包子店：排了四十分鐘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嘉義・噴水雞肉飯：兩碗才夠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宜蘭・正好鮮肉小籠包：出爐即秒殺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基隆廟口・天婦羅：第一百家，環島收官</t>
    </r>
    <r>
      <rPr>
        <sz val="10"/>
        <rFont val="Arial"/>
        <family val="0"/>
        <charset val="1"/>
      </rPr>
      <t xml:space="preserve">"]</t>
    </r>
  </si>
  <si>
    <t xml:space="preserve">DREAM_PEAKS</t>
  </si>
  <si>
    <t xml:space="preserve">完登台灣百岳</t>
  </si>
  <si>
    <t xml:space="preserve">SUMMIT</t>
  </si>
  <si>
    <t xml:space="preserve">座</t>
  </si>
  <si>
    <t xml:space="preserve">把台灣的稜線走成自己的年輪。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</si>
  <si>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玉山主峰 </t>
    </r>
    <r>
      <rPr>
        <sz val="10"/>
        <rFont val="Arial"/>
        <family val="0"/>
        <charset val="1"/>
      </rPr>
      <t xml:space="preserve">3,952m</t>
    </r>
    <r>
      <rPr>
        <sz val="10"/>
        <rFont val="Noto Sans CJK SC"/>
        <family val="2"/>
      </rPr>
      <t xml:space="preserve">：台灣最高點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雪山東峰＋主峰：黑森林裡的一夜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大霸尖山：世紀奇峰就在眼前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南湖大山：帝王之山的圈谷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北大武山：百岳最後一座，南台灣的雲海</t>
    </r>
    <r>
      <rPr>
        <sz val="10"/>
        <rFont val="Arial"/>
        <family val="0"/>
        <charset val="1"/>
      </rPr>
      <t xml:space="preserve">"]</t>
    </r>
  </si>
  <si>
    <t xml:space="preserve">outdoor</t>
  </si>
  <si>
    <t xml:space="preserve">DREAM_DIVE</t>
  </si>
  <si>
    <t xml:space="preserve">潛遍世界十大潛點</t>
  </si>
  <si>
    <t xml:space="preserve">處</t>
  </si>
  <si>
    <t xml:space="preserve">海面下沒有時間。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</si>
  <si>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帛琉・藍角：鯊魚順著流一起飛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埃及・紅海 </t>
    </r>
    <r>
      <rPr>
        <sz val="10"/>
        <rFont val="Arial"/>
        <family val="0"/>
        <charset val="1"/>
      </rPr>
      <t xml:space="preserve">SS Thistlegorm </t>
    </r>
    <r>
      <rPr>
        <sz val="10"/>
        <rFont val="Noto Sans CJK SC"/>
        <family val="2"/>
      </rPr>
      <t xml:space="preserve">沉船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墨西哥・</t>
    </r>
    <r>
      <rPr>
        <sz val="10"/>
        <rFont val="Arial"/>
        <family val="0"/>
        <charset val="1"/>
      </rPr>
      <t xml:space="preserve">Cenote </t>
    </r>
    <r>
      <rPr>
        <sz val="10"/>
        <rFont val="Noto Sans CJK SC"/>
        <family val="2"/>
      </rPr>
      <t xml:space="preserve">天井洞穴：光柱穿透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印尼・</t>
    </r>
    <r>
      <rPr>
        <sz val="10"/>
        <rFont val="Arial"/>
        <family val="0"/>
        <charset val="1"/>
      </rPr>
      <t xml:space="preserve">Raja Ampat</t>
    </r>
    <r>
      <rPr>
        <sz val="10"/>
        <rFont val="Noto Sans CJK SC"/>
        <family val="2"/>
      </rPr>
      <t xml:space="preserve">：全世界魚最多的海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澳洲・大堡礁：第十處，海面下的告別</t>
    </r>
    <r>
      <rPr>
        <sz val="10"/>
        <rFont val="Arial"/>
        <family val="0"/>
        <charset val="1"/>
      </rPr>
      <t xml:space="preserve">"]</t>
    </r>
  </si>
  <si>
    <t xml:space="preserve">DREAM_CONTINENT</t>
  </si>
  <si>
    <t xml:space="preserve">七大洲都留下腳印</t>
  </si>
  <si>
    <t xml:space="preserve">VOYAGE</t>
  </si>
  <si>
    <t xml:space="preserve">洲</t>
  </si>
  <si>
    <t xml:space="preserve">地圖上還有空白的地方。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</si>
  <si>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亞洲・尼泊爾 </t>
    </r>
    <r>
      <rPr>
        <sz val="10"/>
        <rFont val="Arial"/>
        <family val="0"/>
        <charset val="1"/>
      </rPr>
      <t xml:space="preserve">ABC </t>
    </r>
    <r>
      <rPr>
        <sz val="10"/>
        <rFont val="Noto Sans CJK SC"/>
        <family val="2"/>
      </rPr>
      <t xml:space="preserve">基地營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歐洲・冰島環島一號公路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非洲・坦尚尼亞塞倫蓋提大遷徙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美洲・巴塔哥尼亞百內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健行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南極・跨越德瑞克海峽登陸，七大洲完成</t>
    </r>
    <r>
      <rPr>
        <sz val="10"/>
        <rFont val="Arial"/>
        <family val="0"/>
        <charset val="1"/>
      </rPr>
      <t xml:space="preserve">"]</t>
    </r>
  </si>
  <si>
    <t xml:space="preserve">travel</t>
  </si>
  <si>
    <t xml:space="preserve">DREAM_SAIL</t>
  </si>
  <si>
    <t xml:space="preserve">駕帆船橫越太平洋</t>
  </si>
  <si>
    <t xml:space="preserve">段航程</t>
  </si>
  <si>
    <t xml:space="preserve">風會告訴你今天要去哪裡。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</si>
  <si>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段：高雄－沖繩，第一次獨自守夜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段：沖繩－關島，遇上第一場風暴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段：關島－馬紹爾，無風帶的三天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段：馬紹爾－夏威夷，信風終於來了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段：夏威夷－舊金山，橫越太平洋完成</t>
    </r>
    <r>
      <rPr>
        <sz val="10"/>
        <rFont val="Arial"/>
        <family val="0"/>
        <charset val="1"/>
      </rPr>
      <t xml:space="preserve">"]</t>
    </r>
  </si>
  <si>
    <t xml:space="preserve">DREAM_SCHOOL</t>
  </si>
  <si>
    <t xml:space="preserve">創辦一所實驗學校</t>
  </si>
  <si>
    <t xml:space="preserve">LEGACY</t>
  </si>
  <si>
    <t xml:space="preserve">個里程碑</t>
  </si>
  <si>
    <t xml:space="preserve">你想給孩子的，是你當年沒有的。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</si>
  <si>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個里程碑：租下廢棄校舍，簽下十年約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個里程碑：第一批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位學生報到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個里程碑：自編課綱通過實驗教育審議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個里程碑：第一屆畢業生升學放榜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個里程碑：學校自負盈虧，不再需要你補貼</t>
    </r>
    <r>
      <rPr>
        <sz val="10"/>
        <rFont val="Arial"/>
        <family val="0"/>
        <charset val="1"/>
      </rPr>
      <t xml:space="preserve">"]</t>
    </r>
  </si>
  <si>
    <t xml:space="preserve">legacy</t>
  </si>
  <si>
    <t xml:space="preserve">DREAM_FOUND</t>
  </si>
  <si>
    <t xml:space="preserve">成立家族公益基金會</t>
  </si>
  <si>
    <t xml:space="preserve">個計畫</t>
  </si>
  <si>
    <t xml:space="preserve">錢最後會變成什麼，由你決定。</t>
  </si>
  <si>
    <r>
      <rPr>
        <sz val="10"/>
        <rFont val="Arial"/>
        <family val="0"/>
        <charset val="1"/>
      </rPr>
      <t xml:space="preserve">["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個計畫：偏鄉課輔據點開張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個計畫：清寒學生獎學金首度發放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個計畫：食物銀行與在地小農合作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個計畫：長者共餐據點滿一年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個計畫：基金會孳息可自養，永續運作</t>
    </r>
    <r>
      <rPr>
        <sz val="10"/>
        <rFont val="Arial"/>
        <family val="0"/>
        <charset val="1"/>
      </rPr>
      <t xml:space="preserve">"]</t>
    </r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</si>
  <si>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內容盤點｜股票設定</t>
    </r>
  </si>
  <si>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檔股票的股性參數（</t>
    </r>
    <r>
      <rPr>
        <i val="true"/>
        <sz val="9"/>
        <color rgb="FF666666"/>
        <rFont val="Arial"/>
        <family val="0"/>
        <charset val="1"/>
      </rPr>
      <t xml:space="preserve">S15b </t>
    </r>
    <r>
      <rPr>
        <i val="true"/>
        <sz val="9"/>
        <color rgb="FF666666"/>
        <rFont val="Noto Sans CJK SC"/>
        <family val="2"/>
      </rPr>
      <t xml:space="preserve">四層股價模型）。面額單位＝千元／張。</t>
    </r>
  </si>
  <si>
    <t xml:space="preserve">代號</t>
  </si>
  <si>
    <t xml:space="preserve">面額</t>
  </si>
  <si>
    <t xml:space="preserve">月股息率</t>
  </si>
  <si>
    <t xml:space="preserve">波動</t>
  </si>
  <si>
    <r>
      <rPr>
        <b val="true"/>
        <sz val="10"/>
        <color rgb="FFFFFFFF"/>
        <rFont val="Noto Sans CJK SC"/>
        <family val="2"/>
      </rPr>
      <t xml:space="preserve">景氣 </t>
    </r>
    <r>
      <rPr>
        <b val="true"/>
        <sz val="10"/>
        <color rgb="FFFFFFFF"/>
        <rFont val="Arial"/>
        <family val="0"/>
        <charset val="1"/>
      </rPr>
      <t xml:space="preserve">beta</t>
    </r>
  </si>
  <si>
    <t xml:space="preserve">單輪最大漲跌</t>
  </si>
  <si>
    <t xml:space="preserve">漂移加成</t>
  </si>
  <si>
    <t xml:space="preserve">景氣說明</t>
  </si>
  <si>
    <t xml:space="preserve">股性說明</t>
  </si>
  <si>
    <t xml:space="preserve">STK_TECH</t>
  </si>
  <si>
    <t xml:space="preserve">晶宇科技（成長股）</t>
  </si>
  <si>
    <r>
      <rPr>
        <sz val="10"/>
        <rFont val="Noto Sans CJK SC"/>
        <family val="2"/>
      </rPr>
      <t xml:space="preserve">對景氣敏感（約大盤的 </t>
    </r>
    <r>
      <rPr>
        <sz val="10"/>
        <rFont val="Arial"/>
        <family val="0"/>
        <charset val="1"/>
      </rPr>
      <t xml:space="preserve">1.4 </t>
    </r>
    <r>
      <rPr>
        <sz val="10"/>
        <rFont val="Noto Sans CJK SC"/>
        <family val="2"/>
      </rPr>
      <t xml:space="preserve">倍）</t>
    </r>
  </si>
  <si>
    <t xml:space="preserve">押的是未來的獲利，不是現在的配息。景氣好時漲得比大盤凶，景氣一轉也跌得比大盤快；不配息，報酬全靠價差。</t>
  </si>
  <si>
    <t xml:space="preserve">STK_DIV</t>
  </si>
  <si>
    <t xml:space="preserve">台興電信（高股息）</t>
  </si>
  <si>
    <r>
      <rPr>
        <sz val="10"/>
        <rFont val="Noto Sans CJK SC"/>
        <family val="2"/>
      </rPr>
      <t xml:space="preserve">對景氣不敏感（約大盤的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倍）</t>
    </r>
  </si>
  <si>
    <t xml:space="preserve">成熟產業、現金流穩，每月都配息。漲的時候跟不上別人，但崩盤時是全場跌最少的——防禦力就是它的報酬。</t>
  </si>
  <si>
    <t xml:space="preserve">STK_ETF</t>
  </si>
  <si>
    <r>
      <rPr>
        <sz val="10"/>
        <rFont val="Noto Sans CJK SC"/>
        <family val="2"/>
      </rPr>
      <t xml:space="preserve">寶島大盤 </t>
    </r>
    <r>
      <rPr>
        <sz val="10"/>
        <rFont val="Arial"/>
        <family val="0"/>
        <charset val="1"/>
      </rPr>
      <t xml:space="preserve">ETF</t>
    </r>
  </si>
  <si>
    <r>
      <rPr>
        <sz val="10"/>
        <rFont val="Noto Sans CJK SC"/>
        <family val="2"/>
      </rPr>
      <t xml:space="preserve">就是大盤（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倍）</t>
    </r>
  </si>
  <si>
    <t xml:space="preserve">一次買一籃子，漲跌就是大盤本身。不會讓你一夕致富，也不會讓你一夕歸零——是拿來當基準的那一檔。</t>
  </si>
  <si>
    <t xml:space="preserve">STK_SPEC</t>
  </si>
  <si>
    <t xml:space="preserve">星火小型股（投機）</t>
  </si>
  <si>
    <r>
      <rPr>
        <sz val="10"/>
        <rFont val="Noto Sans CJK SC"/>
        <family val="2"/>
      </rPr>
      <t xml:space="preserve">對景氣極度敏感（約大盤的 </t>
    </r>
    <r>
      <rPr>
        <sz val="10"/>
        <rFont val="Arial"/>
        <family val="0"/>
        <charset val="1"/>
      </rPr>
      <t xml:space="preserve">1.8 </t>
    </r>
    <r>
      <rPr>
        <sz val="10"/>
        <rFont val="Noto Sans CJK SC"/>
        <family val="2"/>
      </rPr>
      <t xml:space="preserve">倍）</t>
    </r>
  </si>
  <si>
    <t xml:space="preserve">小型股，題材一來就飛、消息一散就崩，不配息。景氣好時最會漲，蕭條時跌最深，而且是全場唯一可能下市歸零的一檔。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</si>
  <si>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內容盤點｜股票掛單卡</t>
    </r>
  </si>
  <si>
    <r>
      <rPr>
        <i val="true"/>
        <sz val="9"/>
        <color rgb="FF666666"/>
        <rFont val="Arial"/>
        <family val="0"/>
        <charset val="1"/>
      </rPr>
      <t xml:space="preserve">ARCHIVED_STOCK</t>
    </r>
    <r>
      <rPr>
        <i val="true"/>
        <sz val="9"/>
        <color rgb="FF666666"/>
        <rFont val="Noto Sans CJK SC"/>
        <family val="2"/>
      </rPr>
      <t xml:space="preserve">：市場卡開出的掛單價（現行版本股票以股市面板交易，這批卡為封存內容）。</t>
    </r>
  </si>
  <si>
    <t xml:space="preserve">標題</t>
  </si>
  <si>
    <t xml:space="preserve">掛單價</t>
  </si>
  <si>
    <t xml:space="preserve">最少張數</t>
  </si>
  <si>
    <t xml:space="preserve">最多張數</t>
  </si>
  <si>
    <t xml:space="preserve">教育註記</t>
  </si>
  <si>
    <t xml:space="preserve">模組</t>
  </si>
  <si>
    <t xml:space="preserve">OPS_ST1</t>
  </si>
  <si>
    <t xml:space="preserve">晶宇科技 開盤掛單</t>
  </si>
  <si>
    <t xml:space="preserve">法人連三天買超。</t>
  </si>
  <si>
    <t xml:space="preserve">成長股不配息，你賺的是價差；價差沒實現前都只是紙上富貴。</t>
  </si>
  <si>
    <t xml:space="preserve">equity</t>
  </si>
  <si>
    <t xml:space="preserve">OPS_ST2</t>
  </si>
  <si>
    <t xml:space="preserve">台興電信 除息前買點</t>
  </si>
  <si>
    <t xml:space="preserve">殖利率剛好落在近五年高點。</t>
  </si>
  <si>
    <t xml:space="preserve">高股息股每月配息會直接變成你的被動收入。</t>
  </si>
  <si>
    <r>
      <rPr>
        <sz val="10"/>
        <rFont val="Arial"/>
        <family val="0"/>
        <charset val="1"/>
      </rPr>
      <t xml:space="preserve">equity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dividend</t>
    </r>
  </si>
  <si>
    <t xml:space="preserve">OPS_ST3</t>
  </si>
  <si>
    <r>
      <rPr>
        <sz val="10"/>
        <rFont val="Noto Sans CJK SC"/>
        <family val="2"/>
      </rPr>
      <t xml:space="preserve">寶島大盤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定期買</t>
    </r>
  </si>
  <si>
    <t xml:space="preserve">不用選股，買下整個市場。</t>
  </si>
  <si>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用分散換掉個股風險，代價是你也拿不到暴賺。</t>
    </r>
  </si>
  <si>
    <t xml:space="preserve">OPS_ST4</t>
  </si>
  <si>
    <t xml:space="preserve">星火小型股 消息面</t>
  </si>
  <si>
    <t xml:space="preserve">群組裡都在喊，據說有大單。</t>
  </si>
  <si>
    <t xml:space="preserve">聽消息買股票不是投資，是猜拳；它的波動是大盤的四倍。</t>
  </si>
  <si>
    <r>
      <rPr>
        <sz val="10"/>
        <rFont val="Arial"/>
        <family val="0"/>
        <charset val="1"/>
      </rPr>
      <t xml:space="preserve">equity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speculative</t>
    </r>
  </si>
  <si>
    <t xml:space="preserve">OPS_ST5</t>
  </si>
  <si>
    <t xml:space="preserve">台興電信 回檔加碼</t>
  </si>
  <si>
    <t xml:space="preserve">跌了兩成，殖利率更漂亮了。</t>
  </si>
  <si>
    <t xml:space="preserve">同一檔股票在不同價格買，殖利率完全不同。</t>
  </si>
  <si>
    <t xml:space="preserve">OPS_ST6</t>
  </si>
  <si>
    <t xml:space="preserve">晶宇科技 追高</t>
  </si>
  <si>
    <t xml:space="preserve">新聞說要進蘋果供應鏈。</t>
  </si>
  <si>
    <t xml:space="preserve">追在高點的成本會跟著你很久，成本價決定你的報酬率。</t>
  </si>
  <si>
    <t xml:space="preserve">OPS_ST7</t>
  </si>
  <si>
    <t xml:space="preserve">晶宇科技 法說會後</t>
  </si>
  <si>
    <t xml:space="preserve">財測上修，但股價已經先漲了一段。</t>
  </si>
  <si>
    <t xml:space="preserve">好消息公布時，價格常常已經反映完了——這叫「利多出盡」。</t>
  </si>
  <si>
    <t xml:space="preserve">v10.json</t>
  </si>
  <si>
    <t xml:space="preserve">OPS_ST8</t>
  </si>
  <si>
    <t xml:space="preserve">台興電信 定期定額</t>
  </si>
  <si>
    <t xml:space="preserve">每個月固定扣款，不看盤。</t>
  </si>
  <si>
    <t xml:space="preserve">定期定額是用紀律換掉擇時：你不會買在最低，但也不會全押在最高。</t>
  </si>
  <si>
    <t xml:space="preserve">OPS_ST9</t>
  </si>
  <si>
    <r>
      <rPr>
        <sz val="10"/>
        <rFont val="Noto Sans CJK SC"/>
        <family val="2"/>
      </rPr>
      <t xml:space="preserve">寶島大盤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逢低加碼</t>
    </r>
  </si>
  <si>
    <t xml:space="preserve">大盤回檔一成，你手上剛好有現金。</t>
  </si>
  <si>
    <t xml:space="preserve">能在下跌時加碼的人，靠的不是勇氣，是平時留的現金。</t>
  </si>
  <si>
    <t xml:space="preserve">OPS_ST10</t>
  </si>
  <si>
    <t xml:space="preserve">星火小型股 群組明牌</t>
  </si>
  <si>
    <t xml:space="preserve">群組裡的人說「這支要噴了」。</t>
  </si>
  <si>
    <t xml:space="preserve">聽明牌買進的人，通常也會聽明牌賣出——而那個人不會通知你。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</si>
  <si>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內容盤點｜機會卡</t>
    </r>
  </si>
  <si>
    <r>
      <rPr>
        <i val="true"/>
        <sz val="9"/>
        <color rgb="FF666666"/>
        <rFont val="Noto Sans CJK SC"/>
        <family val="2"/>
      </rPr>
      <t xml:space="preserve">小額 </t>
    </r>
    <r>
      <rPr>
        <i val="true"/>
        <sz val="9"/>
        <color rgb="FF666666"/>
        <rFont val="Arial"/>
        <family val="0"/>
        <charset val="1"/>
      </rPr>
      <t xml:space="preserve">33</t>
    </r>
    <r>
      <rPr>
        <i val="true"/>
        <sz val="9"/>
        <color rgb="FF666666"/>
        <rFont val="Noto Sans CJK SC"/>
        <family val="2"/>
      </rPr>
      <t xml:space="preserve">／大額 </t>
    </r>
    <r>
      <rPr>
        <i val="true"/>
        <sz val="9"/>
        <color rgb="FF666666"/>
        <rFont val="Arial"/>
        <family val="0"/>
        <charset val="1"/>
      </rPr>
      <t xml:space="preserve">25</t>
    </r>
    <r>
      <rPr>
        <i val="true"/>
        <sz val="9"/>
        <color rgb="FF666666"/>
        <rFont val="Noto Sans CJK SC"/>
        <family val="2"/>
      </rPr>
      <t xml:space="preserve">／特殊 </t>
    </r>
    <r>
      <rPr>
        <i val="true"/>
        <sz val="9"/>
        <color rgb="FF666666"/>
        <rFont val="Arial"/>
        <family val="0"/>
        <charset val="1"/>
      </rPr>
      <t xml:space="preserve">8</t>
    </r>
    <r>
      <rPr>
        <i val="true"/>
        <sz val="9"/>
        <color rgb="FF666666"/>
        <rFont val="Noto Sans CJK SC"/>
        <family val="2"/>
      </rPr>
      <t xml:space="preserve">（特殊要有人脈才抽得到）。金額單位＝千元。「年化報酬率」為公式：事業＝月淨利</t>
    </r>
    <r>
      <rPr>
        <i val="true"/>
        <sz val="9"/>
        <color rgb="FF666666"/>
        <rFont val="Arial"/>
        <family val="0"/>
        <charset val="1"/>
      </rPr>
      <t xml:space="preserve">×12÷</t>
    </r>
    <r>
      <rPr>
        <i val="true"/>
        <sz val="9"/>
        <color rgb="FF666666"/>
        <rFont val="Noto Sans CJK SC"/>
        <family val="2"/>
      </rPr>
      <t xml:space="preserve">價格；不動產＝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月租−月成本</t>
    </r>
    <r>
      <rPr>
        <i val="true"/>
        <sz val="9"/>
        <color rgb="FF666666"/>
        <rFont val="Arial"/>
        <family val="0"/>
        <charset val="1"/>
      </rPr>
      <t xml:space="preserve">)×12÷</t>
    </r>
    <r>
      <rPr>
        <i val="true"/>
        <sz val="9"/>
        <color rgb="FF666666"/>
        <rFont val="Noto Sans CJK SC"/>
        <family val="2"/>
      </rPr>
      <t xml:space="preserve">價格；新創無現金流不算。吸金盤（</t>
    </r>
    <r>
      <rPr>
        <i val="true"/>
        <sz val="9"/>
        <color rgb="FF666666"/>
        <rFont val="Arial"/>
        <family val="0"/>
        <charset val="1"/>
      </rPr>
      <t xml:space="preserve">isScam</t>
    </r>
    <r>
      <rPr>
        <i val="true"/>
        <sz val="9"/>
        <color rgb="FF666666"/>
        <rFont val="Noto Sans CJK SC"/>
        <family val="2"/>
      </rPr>
      <t xml:space="preserve">）到期整筆歸零。</t>
    </r>
  </si>
  <si>
    <t xml:space="preserve">牌堆</t>
  </si>
  <si>
    <t xml:space="preserve">類型</t>
  </si>
  <si>
    <t xml:space="preserve">價格</t>
  </si>
  <si>
    <t xml:space="preserve">自備款</t>
  </si>
  <si>
    <t xml:space="preserve">月租金</t>
  </si>
  <si>
    <t xml:space="preserve">月成本</t>
  </si>
  <si>
    <t xml:space="preserve">月淨利</t>
  </si>
  <si>
    <t xml:space="preserve">年化報酬率（公式）</t>
  </si>
  <si>
    <t xml:space="preserve">投資額（新創）</t>
  </si>
  <si>
    <r>
      <rPr>
        <b val="true"/>
        <sz val="10"/>
        <color rgb="FFFFFFFF"/>
        <rFont val="Noto Sans CJK SC"/>
        <family val="2"/>
      </rPr>
      <t xml:space="preserve">股權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</si>
  <si>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投後估值</t>
  </si>
  <si>
    <t xml:space="preserve">房貸利率</t>
  </si>
  <si>
    <t xml:space="preserve">機動利率</t>
  </si>
  <si>
    <t xml:space="preserve">出場倍數</t>
  </si>
  <si>
    <t xml:space="preserve">淨利波動</t>
  </si>
  <si>
    <t xml:space="preserve">吸金盤</t>
  </si>
  <si>
    <t xml:space="preserve">爆雷輪數</t>
  </si>
  <si>
    <t xml:space="preserve">中階標的</t>
  </si>
  <si>
    <t xml:space="preserve">分組</t>
  </si>
  <si>
    <t xml:space="preserve">階段</t>
  </si>
  <si>
    <t xml:space="preserve">OPPORTUNITY_SMALL</t>
  </si>
  <si>
    <t xml:space="preserve">OPS_MICRO1</t>
  </si>
  <si>
    <t xml:space="preserve">REALESTATE</t>
  </si>
  <si>
    <t xml:space="preserve">社區停車位一席</t>
  </si>
  <si>
    <t xml:space="preserve">是</t>
  </si>
  <si>
    <t xml:space="preserve">{"RECOVERY": 1.0, "BOOM": 1.2, "RECESSION": 0.92, "DEPRESSION": 0.75}</t>
  </si>
  <si>
    <t xml:space="preserve">車位比車還保值，至少不會拋錨。</t>
  </si>
  <si>
    <t xml:space="preserve">用小額自備款控制一個會生租金的資產，這就是槓桿的入門。</t>
  </si>
  <si>
    <t xml:space="preserve">housing</t>
  </si>
  <si>
    <t xml:space="preserve">OPS_MICRO2</t>
  </si>
  <si>
    <t xml:space="preserve">老公寓分租一房</t>
  </si>
  <si>
    <t xml:space="preserve">{"RECOVERY": 1.0, "BOOM": 1.22, "RECESSION": 0.9, "DEPRESSION": 0.7}</t>
  </si>
  <si>
    <t xml:space="preserve">押一付二，房客是隔壁大學的研究生。</t>
  </si>
  <si>
    <t xml:space="preserve">低總價的分租，讓小資族也能踏出第一步。</t>
  </si>
  <si>
    <t xml:space="preserve">OPS_MICRO3</t>
  </si>
  <si>
    <t xml:space="preserve">BUSINESS</t>
  </si>
  <si>
    <t xml:space="preserve">自動販賣機兩台</t>
  </si>
  <si>
    <t xml:space="preserve">擺在辦公大樓一樓，飲料補貨自己來。</t>
  </si>
  <si>
    <t xml:space="preserve">小額起步的現金流，賺的不多但立刻開始複利。</t>
  </si>
  <si>
    <t xml:space="preserve">business</t>
  </si>
  <si>
    <t xml:space="preserve">OPS_MICRO4</t>
  </si>
  <si>
    <t xml:space="preserve">網拍庫存轉售</t>
  </si>
  <si>
    <t xml:space="preserve">一批換季出清的球鞋，賭它翻倍。</t>
  </si>
  <si>
    <t xml:space="preserve">最低門檻的小生意，適合當第一桶金的起點。</t>
  </si>
  <si>
    <t xml:space="preserve">OPS_RE1</t>
  </si>
  <si>
    <t xml:space="preserve">三重公寓隔套收租</t>
  </si>
  <si>
    <t xml:space="preserve">{"RECOVERY": 1.0, "BOOM": 1.3, "RECESSION": 0.85, "DEPRESSION": 0.62}</t>
  </si>
  <si>
    <t xml:space="preserve">屋主移民急售，已隔三套滿租。</t>
  </si>
  <si>
    <t xml:space="preserve">頭期款進資產欄、貸款進負債欄；租金減掉支出與利息，剩下的才是你的現金流。</t>
  </si>
  <si>
    <r>
      <rPr>
        <sz val="10"/>
        <rFont val="Arial"/>
        <family val="0"/>
        <charset val="1"/>
      </rPr>
      <t xml:space="preserve">housing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leverage</t>
    </r>
  </si>
  <si>
    <t xml:space="preserve">OPS_RE2</t>
  </si>
  <si>
    <t xml:space="preserve">中壢學區套房</t>
  </si>
  <si>
    <t xml:space="preserve">{"RECOVERY": 1.0, "BOOM": 1.25, "RECESSION": 0.88, "DEPRESSION": 0.65}</t>
  </si>
  <si>
    <t xml:space="preserve">對面就是大學側門，寒暑假空租兩個月。</t>
  </si>
  <si>
    <t xml:space="preserve">空置率是隱形成本，看報酬率時要先扣掉它。</t>
  </si>
  <si>
    <t xml:space="preserve">OPS_RE3</t>
  </si>
  <si>
    <t xml:space="preserve">高雄鹽埕老公寓</t>
  </si>
  <si>
    <t xml:space="preserve">{"RECOVERY": 1.0, "BOOM": 1.22, "RECESSION": 0.9, "DEPRESSION": 0.68}</t>
  </si>
  <si>
    <t xml:space="preserve">屋齡四十年，但巷口就是輕軌站。</t>
  </si>
  <si>
    <t xml:space="preserve">老屋維修費會吃掉現金流，買前先問修繕準備金。</t>
  </si>
  <si>
    <t xml:space="preserve">OPS_RE4</t>
  </si>
  <si>
    <t xml:space="preserve">桃園小坪數廠辦</t>
  </si>
  <si>
    <t xml:space="preserve">{"RECOVERY": 1.0, "BOOM": 1.28, "RECESSION": 0.82, "DEPRESSION": 0.6}</t>
  </si>
  <si>
    <t xml:space="preserve">承租戶是做模具的老師傅，一租十年。</t>
  </si>
  <si>
    <t xml:space="preserve">長約租客降低空置風險，這也是一種報酬。</t>
  </si>
  <si>
    <r>
      <rPr>
        <sz val="10"/>
        <rFont val="Arial"/>
        <family val="0"/>
        <charset val="1"/>
      </rPr>
      <t xml:space="preserve">housing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commercial</t>
    </r>
  </si>
  <si>
    <t xml:space="preserve">OPS_BZ1</t>
  </si>
  <si>
    <t xml:space="preserve">自助洗衣店（頂讓）</t>
  </si>
  <si>
    <t xml:space="preserve">否</t>
  </si>
  <si>
    <t xml:space="preserve">機器五成新，社區人口穩定。</t>
  </si>
  <si>
    <t xml:space="preserve">事業要全額現金買下，沒有槓桿；但它的現金流不用等房客。</t>
  </si>
  <si>
    <t xml:space="preserve">OPS_BZ2</t>
  </si>
  <si>
    <t xml:space="preserve">手搖飲加盟店</t>
  </si>
  <si>
    <t xml:space="preserve">品牌方保證帶客，權利金另計。</t>
  </si>
  <si>
    <t xml:space="preserve">加盟等於買現成系統，但你的利潤要分給品牌。</t>
  </si>
  <si>
    <t xml:space="preserve">OPS_BZ3</t>
  </si>
  <si>
    <t xml:space="preserve">夾娃娃機三台</t>
  </si>
  <si>
    <t xml:space="preserve">就放在夜市入口。</t>
  </si>
  <si>
    <t xml:space="preserve">小額但高波動，適合當第一個現金流實驗。</t>
  </si>
  <si>
    <t xml:space="preserve">OPS_BZ4</t>
  </si>
  <si>
    <t xml:space="preserve">校園販賣機組</t>
  </si>
  <si>
    <t xml:space="preserve">跟學校簽三年約。</t>
  </si>
  <si>
    <t xml:space="preserve">有約在身的收入比較好預測，這就是現金流品質。</t>
  </si>
  <si>
    <t xml:space="preserve">OPS_SU1</t>
  </si>
  <si>
    <t xml:space="preserve">STARTUP</t>
  </si>
  <si>
    <t xml:space="preserve">朋友的外送機器人團隊（種子輪）</t>
  </si>
  <si>
    <t xml:space="preserve">三個人、一間車庫、一台改裝的推車。</t>
  </si>
  <si>
    <t xml:space="preserve">種子輪投的是人，不是財報——因為那時候還沒有財報。</t>
  </si>
  <si>
    <t xml:space="preserve">OPS_SU2</t>
  </si>
  <si>
    <t xml:space="preserve">寵物保健食品品牌（天使輪）</t>
  </si>
  <si>
    <t xml:space="preserve">創辦人自己的狗吃了兩年，才敢拿出來賣。</t>
  </si>
  <si>
    <t xml:space="preserve">小額參與可以買到經驗，但別把它當成分散——一次投一家不叫分散。</t>
  </si>
  <si>
    <t xml:space="preserve">OPS_SU3</t>
  </si>
  <si>
    <r>
      <rPr>
        <sz val="10"/>
        <rFont val="Noto Sans CJK SC"/>
        <family val="2"/>
      </rPr>
      <t xml:space="preserve">在地食材冷鏈平台（</t>
    </r>
    <r>
      <rPr>
        <sz val="10"/>
        <rFont val="Arial"/>
        <family val="0"/>
        <charset val="1"/>
      </rPr>
      <t xml:space="preserve">Pre-A</t>
    </r>
    <r>
      <rPr>
        <sz val="10"/>
        <rFont val="Noto Sans CJK SC"/>
        <family val="2"/>
      </rPr>
      <t xml:space="preserve">）</t>
    </r>
  </si>
  <si>
    <t xml:space="preserve">已經有三家餐廳在用，但還在燒錢。</t>
  </si>
  <si>
    <t xml:space="preserve">有營收不等於會賺錢；燒錢速度才決定它撐得到下一輪嗎。</t>
  </si>
  <si>
    <t xml:space="preserve">OPP_HONGYUAN_FUND</t>
  </si>
  <si>
    <t xml:space="preserve">封閉型民間高息專案</t>
  </si>
  <si>
    <t xml:space="preserve">高息投資</t>
  </si>
  <si>
    <t xml:space="preserve">INNER</t>
  </si>
  <si>
    <r>
      <rPr>
        <sz val="10"/>
        <rFont val="Noto Sans CJK SC"/>
        <family val="2"/>
      </rPr>
      <t xml:space="preserve">鄰居每個月都在領 </t>
    </r>
    <r>
      <rPr>
        <sz val="10"/>
        <rFont val="Arial"/>
        <family val="0"/>
        <charset val="1"/>
      </rPr>
      <t xml:space="preserve">4.5% </t>
    </r>
    <r>
      <rPr>
        <sz val="10"/>
        <rFont val="Noto Sans CJK SC"/>
        <family val="2"/>
      </rPr>
      <t xml:space="preserve">利息，介紹人拍胸脯保證絕對穩當，名額只剩這週！</t>
    </r>
  </si>
  <si>
    <r>
      <rPr>
        <sz val="10"/>
        <rFont val="Noto Sans CJK SC"/>
        <family val="2"/>
      </rPr>
      <t xml:space="preserve">你貪他的高利息，他要你的全家本金。世上沒有年化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還保本的生意（歷史原型：鴻源吸金案）。</t>
    </r>
  </si>
  <si>
    <t xml:space="preserve">OPP_GOLD_REPURCHASE</t>
  </si>
  <si>
    <t xml:space="preserve">實體黃金保本回購專案</t>
  </si>
  <si>
    <t xml:space="preserve">黃金貴金屬</t>
  </si>
  <si>
    <r>
      <rPr>
        <sz val="10"/>
        <rFont val="Noto Sans CJK SC"/>
        <family val="2"/>
      </rPr>
      <t xml:space="preserve">業務把沉甸甸的金條擺在眼前，合約白紙黑字寫著保證原價買回、每月加贈 </t>
    </r>
    <r>
      <rPr>
        <sz val="10"/>
        <rFont val="Arial"/>
        <family val="0"/>
        <charset val="1"/>
      </rPr>
      <t xml:space="preserve">4% </t>
    </r>
    <r>
      <rPr>
        <sz val="10"/>
        <rFont val="Noto Sans CJK SC"/>
        <family val="2"/>
      </rPr>
      <t xml:space="preserve">利息。</t>
    </r>
  </si>
  <si>
    <t xml:space="preserve">『保本』與『高於定存數倍的利息』在財務物理學上是互相矛盾的（歷史原型：聖石金業案）。</t>
  </si>
  <si>
    <t xml:space="preserve">OPP_RED_SLIP_HOUSING</t>
  </si>
  <si>
    <t xml:space="preserve">預售屋紅單轉手套利</t>
  </si>
  <si>
    <t xml:space="preserve">房地產</t>
  </si>
  <si>
    <t xml:space="preserve">房仲低聲說：現在買紅單卡位，等開盤轉約現賺，根本不用真的交屋。</t>
  </si>
  <si>
    <t xml:space="preserve">預售屋槓桿是雙面刃；一旦政策收緊禁止轉約或限貸，繳不出尾款便是全額違約沒收。</t>
  </si>
  <si>
    <t xml:space="preserve">OPS_BZ5</t>
  </si>
  <si>
    <t xml:space="preserve">夜市小吃攤（頂讓）</t>
  </si>
  <si>
    <t xml:space="preserve">人潮＝現金流，但攤位租約只剩兩年。</t>
  </si>
  <si>
    <r>
      <rPr>
        <sz val="10"/>
        <rFont val="Noto Sans CJK SC"/>
        <family val="2"/>
      </rPr>
      <t xml:space="preserve">生意好壞先看「來客數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客單價」，再看你要付出多少工時。</t>
    </r>
  </si>
  <si>
    <t xml:space="preserve">OPS_BZ6</t>
  </si>
  <si>
    <t xml:space="preserve">社區自助洗車機</t>
  </si>
  <si>
    <t xml:space="preserve">投幣式、無人顧，週末排隊。</t>
  </si>
  <si>
    <t xml:space="preserve">設備型生意的重點是折舊與故障率，別只看月營收。</t>
  </si>
  <si>
    <t xml:space="preserve">OPS_BZ8</t>
  </si>
  <si>
    <t xml:space="preserve">寵物美容工作室</t>
  </si>
  <si>
    <t xml:space="preserve">老客戶回訪率高，但很吃師傅。</t>
  </si>
  <si>
    <t xml:space="preserve">依賴特定人力的生意，人一走現金流就斷——這叫關鍵人風險。</t>
  </si>
  <si>
    <t xml:space="preserve">OPS_BZ10</t>
  </si>
  <si>
    <t xml:space="preserve">共享機車充電站</t>
  </si>
  <si>
    <t xml:space="preserve">跟里長談好三個車位。</t>
  </si>
  <si>
    <t xml:space="preserve">政策紅利型生意：補助在時很甜，補助沒了要能自己活。</t>
  </si>
  <si>
    <t xml:space="preserve">OPS_RE5</t>
  </si>
  <si>
    <t xml:space="preserve">台南巷弄一樓店面</t>
  </si>
  <si>
    <t xml:space="preserve">觀光客會走到，房東要移民。</t>
  </si>
  <si>
    <t xml:space="preserve">店面收益看的是「租客賺不賺錢」，租客倒了你就空租。</t>
  </si>
  <si>
    <t xml:space="preserve">OPS_RE6</t>
  </si>
  <si>
    <t xml:space="preserve">基隆港邊小套房</t>
  </si>
  <si>
    <t xml:space="preserve">海景第一排，也是潮濕第一排。</t>
  </si>
  <si>
    <t xml:space="preserve">便宜通常有原因：維護成本與空租率要先算進去。</t>
  </si>
  <si>
    <t xml:space="preserve">OPS_RE7</t>
  </si>
  <si>
    <t xml:space="preserve">新莊工業宅兩房</t>
  </si>
  <si>
    <t xml:space="preserve">總價漂亮，但不能設戶籍、貸款成數低。</t>
  </si>
  <si>
    <t xml:space="preserve">權狀用途會影響貸款成數與轉手性——買前先看謄本。</t>
  </si>
  <si>
    <t xml:space="preserve">OPS_RE8</t>
  </si>
  <si>
    <t xml:space="preserve">板橋老公寓一房</t>
  </si>
  <si>
    <t xml:space="preserve">屋齡三十年，但走路到捷運只要五分鐘。</t>
  </si>
  <si>
    <t xml:space="preserve">地點是不動產最難被時間打敗的部分，屋況可以修，位置不能。</t>
  </si>
  <si>
    <t xml:space="preserve">OPS_BZ11</t>
  </si>
  <si>
    <t xml:space="preserve">嘉義火雞肉飯老店（頂讓）</t>
  </si>
  <si>
    <t xml:space="preserve">觀光客排隊，在地人外帶，老闆想退休。</t>
  </si>
  <si>
    <t xml:space="preserve">老店頂讓金裡有多少是「情懷溢價」？回頭客會不會跟著老闆走？</t>
  </si>
  <si>
    <t xml:space="preserve">OPS_BZ12</t>
  </si>
  <si>
    <t xml:space="preserve">民雄鵝肉小館（合夥）</t>
  </si>
  <si>
    <t xml:space="preserve">大學商圈旁，寒暑假人潮少一半。</t>
  </si>
  <si>
    <t xml:space="preserve">學區生意要用「上課月份」算現金流，別拿旺季直接乘十二。</t>
  </si>
  <si>
    <t xml:space="preserve">OPS_BZ13</t>
  </si>
  <si>
    <t xml:space="preserve">中和巷口滷肉飯（加盟）</t>
  </si>
  <si>
    <t xml:space="preserve">總部教你滷汁配方，但房租你自己扛。</t>
  </si>
  <si>
    <t xml:space="preserve">加盟買的是招牌與流程，最大的成本往往在租金與人力。</t>
  </si>
  <si>
    <t xml:space="preserve">OPS_BZ14</t>
  </si>
  <si>
    <t xml:space="preserve">永和豆漿早餐店（接手）</t>
  </si>
  <si>
    <t xml:space="preserve">凌晨三點開工，中午十二點打烊。</t>
  </si>
  <si>
    <t xml:space="preserve">高工時生意的「利潤」有一半是你自己的工資——先扣掉再比較。</t>
  </si>
  <si>
    <t xml:space="preserve">OPS_BZ15</t>
  </si>
  <si>
    <t xml:space="preserve">泰式小館（雙人創業）</t>
  </si>
  <si>
    <t xml:space="preserve">主廚是曼谷來的，合夥人是你大學同學。</t>
  </si>
  <si>
    <t xml:space="preserve">餐飲創業先算翻桌率與客單價，再算你們兩人多久不能領薪水。</t>
  </si>
  <si>
    <t xml:space="preserve">OPS_BZ16</t>
  </si>
  <si>
    <t xml:space="preserve">健康餐盒中央廚房（小型）</t>
  </si>
  <si>
    <t xml:space="preserve">健身房與上班族訂單穩定，毛利薄。</t>
  </si>
  <si>
    <t xml:space="preserve">訂閱制生意穩定但毛利薄，量起不來就是白忙。</t>
  </si>
  <si>
    <t xml:space="preserve">OPS_BZ17</t>
  </si>
  <si>
    <t xml:space="preserve">手搖珍奶店（商圈店面）</t>
  </si>
  <si>
    <t xml:space="preserve">夏天排到轉角，冬天店員比客人多。</t>
  </si>
  <si>
    <t xml:space="preserve">季節性生意要留過冬現金，旺季賺的錢不是全能花。</t>
  </si>
  <si>
    <t xml:space="preserve">OPPORTUNITY_LARGE</t>
  </si>
  <si>
    <t xml:space="preserve">OPL_RE1</t>
  </si>
  <si>
    <t xml:space="preserve">台中七期兩房</t>
  </si>
  <si>
    <t xml:space="preserve">{"RECOVERY": 1.0, "BOOM": 1.35, "RECESSION": 0.85, "DEPRESSION": 0.6}</t>
  </si>
  <si>
    <t xml:space="preserve">面公園，租客是科技業外派主管。</t>
  </si>
  <si>
    <t xml:space="preserve">大標的每筆現金流大，但要壓上更多自備款。</t>
  </si>
  <si>
    <t xml:space="preserve">OPL_RE2</t>
  </si>
  <si>
    <t xml:space="preserve">台北文山三房</t>
  </si>
  <si>
    <t xml:space="preserve">{"RECOVERY": 1.0, "BOOM": 1.32, "RECESSION": 0.86, "DEPRESSION": 0.62}</t>
  </si>
  <si>
    <t xml:space="preserve">屋主換屋，願意配合貸款流程。</t>
  </si>
  <si>
    <t xml:space="preserve">利率每升一碼，你的月付息就漲一次——浮動利率是隱形風險。</t>
  </si>
  <si>
    <t xml:space="preserve">OPL_RE3</t>
  </si>
  <si>
    <t xml:space="preserve">新竹科園整層住家</t>
  </si>
  <si>
    <t xml:space="preserve">{"RECOVERY": 1.0, "BOOM": 1.4, "RECESSION": 0.8, "DEPRESSION": 0.55}</t>
  </si>
  <si>
    <t xml:space="preserve">竹科上班族排隊等租。</t>
  </si>
  <si>
    <t xml:space="preserve">單一產業支撐的租金，會跟著那個產業一起循環。</t>
  </si>
  <si>
    <t xml:space="preserve">OPL_RE4</t>
  </si>
  <si>
    <t xml:space="preserve">台南民宿透天</t>
  </si>
  <si>
    <t xml:space="preserve">{"RECOVERY": 1.0, "BOOM": 1.3, "RECESSION": 0.78, "DEPRESSION": 0.5}</t>
  </si>
  <si>
    <t xml:space="preserve">老屋改建，週末訂房滿載。</t>
  </si>
  <si>
    <t xml:space="preserve">經營型房產報酬高，但你其實買了一份工作。</t>
  </si>
  <si>
    <r>
      <rPr>
        <sz val="10"/>
        <rFont val="Arial"/>
        <family val="0"/>
        <charset val="1"/>
      </rPr>
      <t xml:space="preserve">housing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business</t>
    </r>
  </si>
  <si>
    <t xml:space="preserve">OPL_RE5</t>
  </si>
  <si>
    <t xml:space="preserve">商辦分層出租</t>
  </si>
  <si>
    <t xml:space="preserve">{"RECOVERY": 1.0, "BOOM": 1.45, "RECESSION": 0.72, "DEPRESSION": 0.45}</t>
  </si>
  <si>
    <t xml:space="preserve">整層八個隔間，六家新創進駐。</t>
  </si>
  <si>
    <t xml:space="preserve">商用不動產的租金隨景氣擺動比住宅劇烈。</t>
  </si>
  <si>
    <r>
      <rPr>
        <sz val="10"/>
        <rFont val="Arial"/>
        <family val="0"/>
        <charset val="1"/>
      </rPr>
      <t xml:space="preserve">commercial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leverage</t>
    </r>
  </si>
  <si>
    <t xml:space="preserve">OPL_RE6</t>
  </si>
  <si>
    <t xml:space="preserve">社區車位八席</t>
  </si>
  <si>
    <t xml:space="preserve">{"RECOVERY": 1.0, "BOOM": 1.25, "RECESSION": 0.9, "DEPRESSION": 0.7}</t>
  </si>
  <si>
    <t xml:space="preserve">沒有房客糾紛，也沒有漏水。</t>
  </si>
  <si>
    <t xml:space="preserve">管理成本低的資產，現金流最乾淨。</t>
  </si>
  <si>
    <t xml:space="preserve">OPL_BZ1</t>
  </si>
  <si>
    <t xml:space="preserve">連鎖早餐店三家</t>
  </si>
  <si>
    <t xml:space="preserve">原老闆要退休，員工全數留任。</t>
  </si>
  <si>
    <t xml:space="preserve">買下有店長的生意，你買的是系統不是工作。</t>
  </si>
  <si>
    <t xml:space="preserve">OPL_BZ2</t>
  </si>
  <si>
    <t xml:space="preserve">小型物流車隊</t>
  </si>
  <si>
    <t xml:space="preserve">綁三家電商的最後一哩配送。</t>
  </si>
  <si>
    <t xml:space="preserve">客戶集中度是風險：三家跑掉一家，利潤少三分之一。</t>
  </si>
  <si>
    <t xml:space="preserve">OPL_SU1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</si>
  <si>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客服新創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輪</t>
    </r>
  </si>
  <si>
    <t xml:space="preserve">創辦人是你以前的同事。</t>
  </si>
  <si>
    <t xml:space="preserve">新創股權買的是未來，它現在一毛現金流都不會給你。</t>
  </si>
  <si>
    <t xml:space="preserve">startup</t>
  </si>
  <si>
    <t xml:space="preserve">OPL_SU2</t>
  </si>
  <si>
    <r>
      <rPr>
        <sz val="10"/>
        <rFont val="Noto Sans CJK SC"/>
        <family val="2"/>
      </rPr>
      <t xml:space="preserve">生技檢測新創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輪</t>
    </r>
  </si>
  <si>
    <t xml:space="preserve">剛拿到醫材許可證。</t>
  </si>
  <si>
    <t xml:space="preserve">下一輪你若不跟投，股份會被稀釋——這是股權投資的必修課。</t>
  </si>
  <si>
    <t xml:space="preserve">OPP_OFFSHORE_VIP_FUND</t>
  </si>
  <si>
    <t xml:space="preserve">海外頂級機構專屬配息信託</t>
  </si>
  <si>
    <t xml:space="preserve">海外信託</t>
  </si>
  <si>
    <r>
      <rPr>
        <sz val="10"/>
        <rFont val="Noto Sans CJK SC"/>
        <family val="2"/>
      </rPr>
      <t xml:space="preserve">理專小聲透露：這是資產千萬以上的 </t>
    </r>
    <r>
      <rPr>
        <sz val="10"/>
        <rFont val="Arial"/>
        <family val="0"/>
        <charset val="1"/>
      </rPr>
      <t xml:space="preserve">VIP </t>
    </r>
    <r>
      <rPr>
        <sz val="10"/>
        <rFont val="Noto Sans CJK SC"/>
        <family val="2"/>
      </rPr>
      <t xml:space="preserve">才能投的海外配息基金，年化 </t>
    </r>
    <r>
      <rPr>
        <sz val="10"/>
        <rFont val="Arial"/>
        <family val="0"/>
        <charset val="1"/>
      </rPr>
      <t xml:space="preserve">54%</t>
    </r>
    <r>
      <rPr>
        <sz val="10"/>
        <rFont val="Noto Sans CJK SC"/>
        <family val="2"/>
      </rPr>
      <t xml:space="preserve">、零風險。</t>
    </r>
  </si>
  <si>
    <t xml:space="preserve">不在金融監管名冊內的境外商品，一旦出事跨國追償往往化為烏有（歷史原型：澳豐金融案）。</t>
  </si>
  <si>
    <t xml:space="preserve">OPL_RE7</t>
  </si>
  <si>
    <t xml:space="preserve">逢甲學生宅整棟</t>
  </si>
  <si>
    <t xml:space="preserve">十二間套房，寒暑假空一半。</t>
  </si>
  <si>
    <t xml:space="preserve">整棟收租看的是「實際入住率」，不是滿租試算表。</t>
  </si>
  <si>
    <t xml:space="preserve">OPL_RE8</t>
  </si>
  <si>
    <t xml:space="preserve">宜蘭田中央民宿</t>
  </si>
  <si>
    <t xml:space="preserve">假日一房難求，平日一片安靜。</t>
  </si>
  <si>
    <r>
      <rPr>
        <sz val="10"/>
        <rFont val="Noto Sans CJK SC"/>
        <family val="2"/>
      </rPr>
      <t xml:space="preserve">旅宿業是「單價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住房率」的生意，兩個數字都會被景氣打。</t>
    </r>
  </si>
  <si>
    <t xml:space="preserve">OPL_BZ3</t>
  </si>
  <si>
    <t xml:space="preserve">連鎖洗衣加盟五店</t>
  </si>
  <si>
    <t xml:space="preserve">總部包裝潢與設備，你出資金與人。</t>
  </si>
  <si>
    <t xml:space="preserve">加盟金與權利金是固定成本，展店前先算「幾家才會賺」。</t>
  </si>
  <si>
    <t xml:space="preserve">OPL_BZ4</t>
  </si>
  <si>
    <t xml:space="preserve">老街文青咖啡館（整棟改裝）</t>
  </si>
  <si>
    <t xml:space="preserve">打卡的人很多，坐下來點單的少一點。</t>
  </si>
  <si>
    <t xml:space="preserve">「氛圍財」景氣好時最旺、反轉時最先被砍——這是可支配支出的第一線。</t>
  </si>
  <si>
    <t xml:space="preserve">OPL_BZ5</t>
  </si>
  <si>
    <t xml:space="preserve">國際連鎖咖啡（加盟主力店）</t>
  </si>
  <si>
    <t xml:space="preserve">品牌自帶客流，權利金也自帶抽成。</t>
  </si>
  <si>
    <t xml:space="preserve">大品牌加盟：營收穩定換抽成——算的是「穩定折價」值不值。</t>
  </si>
  <si>
    <t xml:space="preserve">OPL_BZ6</t>
  </si>
  <si>
    <t xml:space="preserve">連鎖便利商店（雙店加盟）</t>
  </si>
  <si>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小時亮著燈，大夜班永遠在徵人。</t>
    </r>
  </si>
  <si>
    <t xml:space="preserve">多店加盟賺的是規模，但兩家店的人事問題不止兩倍。</t>
  </si>
  <si>
    <t xml:space="preserve">OPM_RE1</t>
  </si>
  <si>
    <t xml:space="preserve">三重五股透天一樓（三戶合租）</t>
  </si>
  <si>
    <t xml:space="preserve">{"RECOVERY": 1, "BOOM": 1.3, "RECESSION": 0.86, "DEPRESSION": 0.62}</t>
  </si>
  <si>
    <t xml:space="preserve">屋主急脫手，開價比行情低一成，但要現金到位快。</t>
  </si>
  <si>
    <t xml:space="preserve">頭款兩成，剩下八成是銀行的。合資的話你出的是頭款的一部分，槓桿沒有變小。</t>
  </si>
  <si>
    <r>
      <rPr>
        <sz val="10"/>
        <rFont val="Arial"/>
        <family val="0"/>
        <charset val="1"/>
      </rPr>
      <t xml:space="preserve">housing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leverage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jv</t>
    </r>
  </si>
  <si>
    <t xml:space="preserve">OPM_RE2</t>
  </si>
  <si>
    <t xml:space="preserve">中壢工業區小廠辦</t>
  </si>
  <si>
    <t xml:space="preserve">{"RECOVERY": 1, "BOOM": 1.26, "RECESSION": 0.88, "DEPRESSION": 0.66}</t>
  </si>
  <si>
    <t xml:space="preserve">租給模具廠，租約三年一簽。</t>
  </si>
  <si>
    <t xml:space="preserve">單一租客的物件，空租一次就吃掉整年報酬——分散不只講在股票上。</t>
  </si>
  <si>
    <t xml:space="preserve">OPM_RE3</t>
  </si>
  <si>
    <t xml:space="preserve">台南永康學區整層四套</t>
  </si>
  <si>
    <t xml:space="preserve">四間套房分租，管理費另計。</t>
  </si>
  <si>
    <t xml:space="preserve">四個租客比一個穩，但也代表四倍的維修與催租。</t>
  </si>
  <si>
    <t xml:space="preserve">OPM_RE4</t>
  </si>
  <si>
    <t xml:space="preserve">高雄亞灣區兩房（法拍取得）</t>
  </si>
  <si>
    <t xml:space="preserve">法拍屋，點交順利但要一次付清尾款。</t>
  </si>
  <si>
    <t xml:space="preserve">便宜有便宜的理由：法拍的折價，買的是你自己承擔的麻煩。</t>
  </si>
  <si>
    <t xml:space="preserve">OPM_BZ1</t>
  </si>
  <si>
    <t xml:space="preserve">社區型健身工作室（頂讓）</t>
  </si>
  <si>
    <r>
      <rPr>
        <sz val="10"/>
        <rFont val="Noto Sans CJK SC"/>
        <family val="2"/>
      </rPr>
      <t xml:space="preserve">現有會員 </t>
    </r>
    <r>
      <rPr>
        <sz val="10"/>
        <rFont val="Arial"/>
        <family val="0"/>
        <charset val="1"/>
      </rPr>
      <t xml:space="preserve">180 </t>
    </r>
    <r>
      <rPr>
        <sz val="10"/>
        <rFont val="Noto Sans CJK SC"/>
        <family val="2"/>
      </rPr>
      <t xml:space="preserve">人，教練願意留任。</t>
    </r>
  </si>
  <si>
    <t xml:space="preserve">會員制的生意，現金流看起來很穩——直到續約季。</t>
  </si>
  <si>
    <r>
      <rPr>
        <sz val="10"/>
        <rFont val="Arial"/>
        <family val="0"/>
        <charset val="1"/>
      </rPr>
      <t xml:space="preserve">business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jv</t>
    </r>
  </si>
  <si>
    <t xml:space="preserve">OPM_BZ2</t>
  </si>
  <si>
    <t xml:space="preserve">連鎖手搖飲兩店（雙店包）</t>
  </si>
  <si>
    <t xml:space="preserve">兩間店綁一起賣，單買不拆。</t>
  </si>
  <si>
    <t xml:space="preserve">綁售的兩店裡通常有一間是拖油瓶。買之前要分開看兩本帳。</t>
  </si>
  <si>
    <t xml:space="preserve">OPM_BZ3</t>
  </si>
  <si>
    <t xml:space="preserve">校園周邊自助洗衣三店</t>
  </si>
  <si>
    <t xml:space="preserve">三間店同一個商圈，共用一台補鈔車。</t>
  </si>
  <si>
    <t xml:space="preserve">同一個商圈的三間店不是分散，是集中——商圈衰退時一起衰退。</t>
  </si>
  <si>
    <t xml:space="preserve">OPM_BZ4</t>
  </si>
  <si>
    <t xml:space="preserve">區域型烘焙中央廚房</t>
  </si>
  <si>
    <t xml:space="preserve">供應八間早餐店，客戶集中但穩定。</t>
  </si>
  <si>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的生意毛利低但量大；最大的風險是最大的那個客戶。</t>
    </r>
  </si>
  <si>
    <t xml:space="preserve">OPPORTUNITY_SPECIAL</t>
  </si>
  <si>
    <t xml:space="preserve">SP01</t>
  </si>
  <si>
    <t xml:space="preserve">同學的連鎖藥妝店，缺一個股東</t>
  </si>
  <si>
    <r>
      <rPr>
        <sz val="10"/>
        <rFont val="Arial"/>
        <family val="0"/>
        <charset val="1"/>
      </rPr>
      <t xml:space="preserve">EMBA </t>
    </r>
    <r>
      <rPr>
        <sz val="10"/>
        <rFont val="Noto Sans CJK SC"/>
        <family val="2"/>
      </rPr>
      <t xml:space="preserve">同組報告的那個人，開口第一句是「先問你要不要」。</t>
    </r>
  </si>
  <si>
    <t xml:space="preserve">最好的案子從來不會出現在公開市場——但這不代表它們沒有風險。</t>
  </si>
  <si>
    <t xml:space="preserve">special.json</t>
  </si>
  <si>
    <t xml:space="preserve">SP02</t>
  </si>
  <si>
    <t xml:space="preserve">校友讓出的市中心整層商辦</t>
  </si>
  <si>
    <t xml:space="preserve">他要移民，開的價比市場低一成，條件是三週內完成。</t>
  </si>
  <si>
    <t xml:space="preserve">人脈換到的是「先看到」和「談得動」，不是「一定賺」——你還是要自己算。</t>
  </si>
  <si>
    <t xml:space="preserve">SP03</t>
  </si>
  <si>
    <t xml:space="preserve">指導教授的實驗室要衍生新創</t>
  </si>
  <si>
    <t xml:space="preserve">技術還在論文階段，但團隊你認識三個。</t>
  </si>
  <si>
    <t xml:space="preserve">看得懂技術不等於看得懂生意；認識創辦人也不等於降低風險。沒有月現金流，全押在退出價差上。</t>
  </si>
  <si>
    <t xml:space="preserve">SP04</t>
  </si>
  <si>
    <t xml:space="preserve">學長的區域物流站要頂讓</t>
  </si>
  <si>
    <t xml:space="preserve">他升上去了，站點要交給信得過的人。</t>
  </si>
  <si>
    <t xml:space="preserve">「信得過的人」是一種折價，但接手後每天要面對的是同一批車和同一批司機。</t>
  </si>
  <si>
    <t xml:space="preserve">SP05</t>
  </si>
  <si>
    <t xml:space="preserve">同學家族的老市場店面（三代持有）</t>
  </si>
  <si>
    <t xml:space="preserve">從不掛牌，這次是因為要分家。</t>
  </si>
  <si>
    <t xml:space="preserve">稀缺的東西通常也難脫手——買之前先想清楚你打算怎麼賣掉它。</t>
  </si>
  <si>
    <t xml:space="preserve">SP06</t>
  </si>
  <si>
    <t xml:space="preserve">同學新開的寵物旅館，找人一起出</t>
  </si>
  <si>
    <r>
      <rPr>
        <sz val="10"/>
        <rFont val="Arial"/>
        <family val="0"/>
        <charset val="1"/>
      </rPr>
      <t xml:space="preserve">EMBA </t>
    </r>
    <r>
      <rPr>
        <sz val="10"/>
        <rFont val="Noto Sans CJK SC"/>
        <family val="2"/>
      </rPr>
      <t xml:space="preserve">分組報告的組員，週末帶你去看場地。</t>
    </r>
  </si>
  <si>
    <t xml:space="preserve">入場金額小不代表風險小——人脈帶來的案子，最貴的成本是拉不下臉拒絕。</t>
  </si>
  <si>
    <t xml:space="preserve">SP07</t>
  </si>
  <si>
    <t xml:space="preserve">教授實驗室的檢測服務要對外接單</t>
  </si>
  <si>
    <t xml:space="preserve">「先做小的試試看」，教授這樣說。</t>
  </si>
  <si>
    <t xml:space="preserve">小額入場的好處是可以先試水溫。真正的門票是那通電話，不是那筆錢。</t>
  </si>
  <si>
    <t xml:space="preserve">SP08</t>
  </si>
  <si>
    <t xml:space="preserve">學長的連鎖洗車據點，缺一個小股東</t>
  </si>
  <si>
    <t xml:space="preserve">他只缺一個名額，開口就說金額不用大。</t>
  </si>
  <si>
    <t xml:space="preserve">小股東拿得到分潤，但拿不到決定權。入股前先問清楚誰說了算。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</si>
  <si>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內容盤點｜人生事件卡</t>
    </r>
  </si>
  <si>
    <r>
      <rPr>
        <i val="true"/>
        <sz val="9"/>
        <color rgb="FF666666"/>
        <rFont val="Arial"/>
        <family val="0"/>
        <charset val="1"/>
      </rPr>
      <t xml:space="preserve">LIFE_EVENT</t>
    </r>
    <r>
      <rPr>
        <i val="true"/>
        <sz val="9"/>
        <color rgb="FF666666"/>
        <rFont val="Noto Sans CJK SC"/>
        <family val="2"/>
      </rPr>
      <t xml:space="preserve">（含二選一 </t>
    </r>
    <r>
      <rPr>
        <i val="true"/>
        <sz val="9"/>
        <color rgb="FF666666"/>
        <rFont val="Arial"/>
        <family val="0"/>
        <charset val="1"/>
      </rPr>
      <t xml:space="preserve">CHOICE</t>
    </r>
    <r>
      <rPr>
        <i val="true"/>
        <sz val="9"/>
        <color rgb="FF666666"/>
        <rFont val="Noto Sans CJK SC"/>
        <family val="2"/>
      </rPr>
      <t xml:space="preserve">、自我投資 </t>
    </r>
    <r>
      <rPr>
        <i val="true"/>
        <sz val="9"/>
        <color rgb="FF666666"/>
        <rFont val="Arial"/>
        <family val="0"/>
        <charset val="1"/>
      </rPr>
      <t xml:space="preserve">SELF_INVEST</t>
    </r>
    <r>
      <rPr>
        <i val="true"/>
        <sz val="9"/>
        <color rgb="FF666666"/>
        <rFont val="Noto Sans CJK SC"/>
        <family val="2"/>
      </rPr>
      <t xml:space="preserve">、獨立董事邀請 </t>
    </r>
    <r>
      <rPr>
        <i val="true"/>
        <sz val="9"/>
        <color rgb="FF666666"/>
        <rFont val="Arial"/>
        <family val="0"/>
        <charset val="1"/>
      </rPr>
      <t xml:space="preserve">SPECIAL</t>
    </r>
    <r>
      <rPr>
        <i val="true"/>
        <sz val="9"/>
        <color rgb="FF666666"/>
        <rFont val="Noto Sans CJK SC"/>
        <family val="2"/>
      </rPr>
      <t xml:space="preserve">）＋ 職業事件 ＋ 夢想圈事件 </t>
    </r>
    <r>
      <rPr>
        <i val="true"/>
        <sz val="9"/>
        <color rgb="FF666666"/>
        <rFont val="Arial"/>
        <family val="0"/>
        <charset val="1"/>
      </rPr>
      <t xml:space="preserve">OUTER_LIFE</t>
    </r>
    <r>
      <rPr>
        <i val="true"/>
        <sz val="9"/>
        <color rgb="FF666666"/>
        <rFont val="Noto Sans CJK SC"/>
        <family val="2"/>
      </rPr>
      <t xml:space="preserve">。技能情境卡另列「學習</t>
    </r>
    <r>
      <rPr>
        <i val="true"/>
        <sz val="9"/>
        <color rgb="FF666666"/>
        <rFont val="Arial"/>
        <family val="0"/>
        <charset val="1"/>
      </rPr>
      <t xml:space="preserve">-</t>
    </r>
    <r>
      <rPr>
        <i val="true"/>
        <sz val="9"/>
        <color rgb="FF666666"/>
        <rFont val="Noto Sans CJK SC"/>
        <family val="2"/>
      </rPr>
      <t xml:space="preserve">情境卡」。金額單位＝千元。</t>
    </r>
  </si>
  <si>
    <t xml:space="preserve">子類</t>
  </si>
  <si>
    <t xml:space="preserve">副標</t>
  </si>
  <si>
    <t xml:space="preserve">效果</t>
  </si>
  <si>
    <t xml:space="preserve">選項（二選一）</t>
  </si>
  <si>
    <t xml:space="preserve">品格分歧</t>
  </si>
  <si>
    <t xml:space="preserve">費用</t>
  </si>
  <si>
    <t xml:space="preserve">幸福感</t>
  </si>
  <si>
    <t xml:space="preserve">可選</t>
  </si>
  <si>
    <t xml:space="preserve">開的決策</t>
  </si>
  <si>
    <t xml:space="preserve">一生一次</t>
  </si>
  <si>
    <t xml:space="preserve">需要小孩</t>
  </si>
  <si>
    <t xml:space="preserve">需任一技能</t>
  </si>
  <si>
    <t xml:space="preserve">不得已有技能</t>
  </si>
  <si>
    <t xml:space="preserve">需正在學習</t>
  </si>
  <si>
    <t xml:space="preserve">限定職業</t>
  </si>
  <si>
    <t xml:space="preserve">LIFE_EVENT</t>
  </si>
  <si>
    <t xml:space="preserve">LE01</t>
  </si>
  <si>
    <t xml:space="preserve">家裡多了一個人</t>
  </si>
  <si>
    <t xml:space="preserve">半夜的哭聲從此變成背景音。</t>
  </si>
  <si>
    <t xml:space="preserve">每個孩子都是一筆長期的月支出，要提早進預算。</t>
  </si>
  <si>
    <t xml:space="preserve">生小孩</t>
  </si>
  <si>
    <t xml:space="preserve">family</t>
  </si>
  <si>
    <t xml:space="preserve">LE02</t>
  </si>
  <si>
    <t xml:space="preserve">年度調薪</t>
  </si>
  <si>
    <t xml:space="preserve">主管說你今年表現很好。</t>
  </si>
  <si>
    <t xml:space="preserve">加薪讓你更快存到本金，但它不會自己變成被動收入。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</si>
  <si>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×1.08</t>
    </r>
    <r>
      <rPr>
        <sz val="10"/>
        <rFont val="Noto Sans CJK SC"/>
        <family val="2"/>
      </rPr>
      <t xml:space="preserve">（年度調薪）</t>
    </r>
  </si>
  <si>
    <t xml:space="preserve">career</t>
  </si>
  <si>
    <t xml:space="preserve">LE04</t>
  </si>
  <si>
    <t xml:space="preserve">急性盲腸炎</t>
  </si>
  <si>
    <t xml:space="preserve">半夜掛急診。</t>
  </si>
  <si>
    <t xml:space="preserve">醫療支出是最典型的「必須有現金」情境。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</si>
  <si>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自己（醫療自付）</t>
    </r>
  </si>
  <si>
    <t xml:space="preserve">health</t>
  </si>
  <si>
    <t xml:space="preserve">LE05</t>
  </si>
  <si>
    <t xml:space="preserve">長輩留下的一筆錢</t>
  </si>
  <si>
    <t xml:space="preserve">信封上寫著你的名字。</t>
  </si>
  <si>
    <t xml:space="preserve">一次性收入是存量，把它換成會生錢的資產才會變流量。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</si>
  <si>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+260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自己（繼承）</t>
    </r>
  </si>
  <si>
    <t xml:space="preserve">windfall</t>
  </si>
  <si>
    <t xml:space="preserve">LE06</t>
  </si>
  <si>
    <t xml:space="preserve">二寶報到</t>
  </si>
  <si>
    <t xml:space="preserve">這次比較從容一點。</t>
  </si>
  <si>
    <t xml:space="preserve">養育支出是等比級數，不是加法。</t>
  </si>
  <si>
    <t xml:space="preserve">LE07</t>
  </si>
  <si>
    <t xml:space="preserve">被挖角跳槽</t>
  </si>
  <si>
    <t xml:space="preserve">對方開的價碼你想了三天。</t>
  </si>
  <si>
    <t xml:space="preserve">換工作是提高主動收入最快的方式之一。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</si>
  <si>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×1.15</t>
    </r>
    <r>
      <rPr>
        <sz val="10"/>
        <rFont val="Noto Sans CJK SC"/>
        <family val="2"/>
      </rPr>
      <t xml:space="preserve">（跳槽加薪）；現金 </t>
    </r>
    <r>
      <rPr>
        <sz val="10"/>
        <rFont val="Arial"/>
        <family val="0"/>
        <charset val="1"/>
      </rPr>
      <t xml:space="preserve">-12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自己（空窗期支出）</t>
    </r>
  </si>
  <si>
    <t xml:space="preserve">LE08</t>
  </si>
  <si>
    <t xml:space="preserve">親戚的婚宴週</t>
  </si>
  <si>
    <t xml:space="preserve">一週三場，都是不能不去的。</t>
  </si>
  <si>
    <t xml:space="preserve">可預測的人情支出應該編進年度預算。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</si>
  <si>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自己（禮金）</t>
    </r>
  </si>
  <si>
    <t xml:space="preserve">social</t>
  </si>
  <si>
    <t xml:space="preserve">LE10</t>
  </si>
  <si>
    <t xml:space="preserve">三寶出生</t>
  </si>
  <si>
    <t xml:space="preserve">家裡真的滿了。</t>
  </si>
  <si>
    <t xml:space="preserve">家庭規模是你自由門檻的乘數。</t>
  </si>
  <si>
    <t xml:space="preserve">SI_MBA</t>
  </si>
  <si>
    <t xml:space="preserve">SELF_INVEST</t>
  </si>
  <si>
    <r>
      <rPr>
        <sz val="10"/>
        <rFont val="Noto Sans CJK SC"/>
        <family val="2"/>
      </rPr>
      <t xml:space="preserve">在職進修念個 </t>
    </r>
    <r>
      <rPr>
        <sz val="10"/>
        <rFont val="Arial"/>
        <family val="0"/>
        <charset val="1"/>
      </rPr>
      <t xml:space="preserve">MBA</t>
    </r>
  </si>
  <si>
    <t xml:space="preserve">週末與夜晚全給了課本，兩年後履歷不一樣了。</t>
  </si>
  <si>
    <t xml:space="preserve">對自己的投資，長期報酬率常常最高。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</si>
  <si>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×1.28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-60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自己（在職進修念個 </t>
    </r>
    <r>
      <rPr>
        <sz val="10"/>
        <rFont val="Arial"/>
        <family val="0"/>
        <charset val="1"/>
      </rPr>
      <t xml:space="preserve">MBA </t>
    </r>
    <r>
      <rPr>
        <sz val="10"/>
        <rFont val="Noto Sans CJK SC"/>
        <family val="2"/>
      </rPr>
      <t xml:space="preserve">投入）；薪水</t>
    </r>
    <r>
      <rPr>
        <sz val="10"/>
        <rFont val="Arial"/>
        <family val="0"/>
        <charset val="1"/>
      </rPr>
      <t xml:space="preserve">× ×1.28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自己（在職進修念個 </t>
    </r>
    <r>
      <rPr>
        <sz val="10"/>
        <rFont val="Arial"/>
        <family val="0"/>
        <charset val="1"/>
      </rPr>
      <t xml:space="preserve">MBA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</si>
  <si>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SI_CERT</t>
  </si>
  <si>
    <t xml:space="preserve">考取國際專業證照</t>
  </si>
  <si>
    <t xml:space="preserve">考場外的你，比進場前更值錢。</t>
  </si>
  <si>
    <t xml:space="preserve">證照是把能力標準化、讓市場看得見。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</si>
  <si>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×1.18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-28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自己（考取國際專業證照 投入）；薪水</t>
    </r>
    <r>
      <rPr>
        <sz val="10"/>
        <rFont val="Arial"/>
        <family val="0"/>
        <charset val="1"/>
      </rPr>
      <t xml:space="preserve">× ×1.18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自己（考取國際專業證照）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</si>
  <si>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SI_PIVOT</t>
  </si>
  <si>
    <t xml:space="preserve">轉職到成長型產業</t>
  </si>
  <si>
    <t xml:space="preserve">空窗與從頭學起的陣痛，換來更高的天花板。</t>
  </si>
  <si>
    <t xml:space="preserve">選對產業，努力的邊際報酬會完全不同。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</si>
  <si>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×1.22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自己（轉職到成長型產業 投入）；薪水</t>
    </r>
    <r>
      <rPr>
        <sz val="10"/>
        <rFont val="Arial"/>
        <family val="0"/>
        <charset val="1"/>
      </rPr>
      <t xml:space="preserve">× ×1.22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自己（轉職到成長型產業）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</si>
  <si>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SI_SKILL</t>
  </si>
  <si>
    <t xml:space="preserve">學會第二專長（數位技能）</t>
  </si>
  <si>
    <t xml:space="preserve">下班後的線上課，補上了缺的那塊拼圖。</t>
  </si>
  <si>
    <t xml:space="preserve">一技之長，是通膨時代最保值的資產。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</si>
  <si>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×1.16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-22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自己（學會第二專長（數位技能） 投入）；薪水</t>
    </r>
    <r>
      <rPr>
        <sz val="10"/>
        <rFont val="Arial"/>
        <family val="0"/>
        <charset val="1"/>
      </rPr>
      <t xml:space="preserve">× ×1.16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自己（學會第二專長（數位技能））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</si>
  <si>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SI_NEGO</t>
  </si>
  <si>
    <t xml:space="preserve">上完溝通課，成功談加薪</t>
  </si>
  <si>
    <t xml:space="preserve">你準備了數據、也準備了勇氣。</t>
  </si>
  <si>
    <t xml:space="preserve">你的薪水，有時只差一次好好開口。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</si>
  <si>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×1.12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自己（上完溝通課，成功談加薪 投入）；薪水</t>
    </r>
    <r>
      <rPr>
        <sz val="10"/>
        <rFont val="Arial"/>
        <family val="0"/>
        <charset val="1"/>
      </rPr>
      <t xml:space="preserve">× ×1.12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自己（上完溝通課，成功談加薪）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</si>
  <si>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SI_LANG</t>
  </si>
  <si>
    <t xml:space="preserve">進修外語，爭取外派加給</t>
  </si>
  <si>
    <t xml:space="preserve">多會一種語言，就多一種人生選項。</t>
  </si>
  <si>
    <t xml:space="preserve">語言打開的是機會，不只是履歷。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</si>
  <si>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×1.25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自己（進修外語，爭取外派加給 投入）；薪水</t>
    </r>
    <r>
      <rPr>
        <sz val="10"/>
        <rFont val="Arial"/>
        <family val="0"/>
        <charset val="1"/>
      </rPr>
      <t xml:space="preserve">× ×1.25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自己（進修外語，爭取外派加給）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</si>
  <si>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SI_SIDE</t>
  </si>
  <si>
    <t xml:space="preserve">副業起步：週末工作坊</t>
  </si>
  <si>
    <t xml:space="preserve">把興趣變成收入，週末不再只是休息。</t>
  </si>
  <si>
    <t xml:space="preserve">第二收入來源，是抗風險的底氣。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</si>
  <si>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　薪資 </t>
    </r>
    <r>
      <rPr>
        <sz val="10"/>
        <rFont val="Arial"/>
        <family val="0"/>
        <charset val="1"/>
      </rPr>
      <t xml:space="preserve">×1.15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自己（副業起步：週末工作坊 投入）；薪水</t>
    </r>
    <r>
      <rPr>
        <sz val="10"/>
        <rFont val="Arial"/>
        <family val="0"/>
        <charset val="1"/>
      </rPr>
      <t xml:space="preserve">× ×1.15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自己（副業起步：週末工作坊）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</si>
  <si>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SI_QUIT</t>
  </si>
  <si>
    <t xml:space="preserve">戒除昂貴習慣，重整生活</t>
  </si>
  <si>
    <t xml:space="preserve">算了一次年度花費，你嚇了一跳。</t>
  </si>
  <si>
    <t xml:space="preserve">省下的每一塊，都是自由的一小步。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</si>
  <si>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　每月支出 </t>
    </r>
    <r>
      <rPr>
        <sz val="10"/>
        <rFont val="Arial"/>
        <family val="0"/>
        <charset val="1"/>
      </rPr>
      <t xml:space="preserve">-5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自己（戒除昂貴習慣，重整生活 投入）；每月支出（限時）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自己（戒除昂貴習慣，重整生活（每月））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</si>
  <si>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SI_MOVE</t>
  </si>
  <si>
    <t xml:space="preserve">搬到房租更合理的地方</t>
  </si>
  <si>
    <t xml:space="preserve">通勤多十分鐘，錢包鬆了一大截。</t>
  </si>
  <si>
    <t xml:space="preserve">居住成本，是多數人最大的固定支出。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</si>
  <si>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　每月支出 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自己（搬到房租更合理的地方 投入）；每月支出（限時）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自己（搬到房租更合理的地方（每月））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</si>
  <si>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SI_AUTO</t>
  </si>
  <si>
    <t xml:space="preserve">建立自動化理財系統</t>
  </si>
  <si>
    <t xml:space="preserve">設定好自動轉帳與記帳，錢就乖了。</t>
  </si>
  <si>
    <t xml:space="preserve">好的系統，讓省錢不必靠意志力。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</si>
  <si>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　每月支出 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自己（建立自動化理財系統 投入）；每月支出（限時）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自己（建立自動化理財系統（每月））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</si>
  <si>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SI_HEALTH</t>
  </si>
  <si>
    <t xml:space="preserve">認真投資健康，減少醫療支出</t>
  </si>
  <si>
    <t xml:space="preserve">開始運動與定期檢查後，藥費省下來了。</t>
  </si>
  <si>
    <t xml:space="preserve">健康是負債表上看不到、卻最貴的資產。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</si>
  <si>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　每月支出 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自己（認真投資健康，減少醫療支出 投入）；每月支出（限時）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自己（認真投資健康，減少醫療支出（每月））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</si>
  <si>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SI_DEBT</t>
  </si>
  <si>
    <t xml:space="preserve">把高利卡債整合成低利貸</t>
  </si>
  <si>
    <t xml:space="preserve">一通電話、一張表，利息砍了一半。</t>
  </si>
  <si>
    <t xml:space="preserve">先解決最貴的債，比多賺更有效。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</si>
  <si>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投資自己｜投入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　每月支出 </t>
    </r>
    <r>
      <rPr>
        <sz val="10"/>
        <rFont val="Arial"/>
        <family val="0"/>
        <charset val="1"/>
      </rPr>
      <t xml:space="preserve">-5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自己（把高利卡債整合成低利貸 投入）；每月支出（限時）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自己（把高利卡債整合成低利貸（每月））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暫時不｜把錢與時間留著</t>
    </r>
  </si>
  <si>
    <t xml:space="preserve">LE11</t>
  </si>
  <si>
    <t xml:space="preserve">CHOICE</t>
  </si>
  <si>
    <t xml:space="preserve">父母醫療陪同請假</t>
  </si>
  <si>
    <t xml:space="preserve">爸媽要回診，時間卡在上班日。</t>
  </si>
  <si>
    <t xml:space="preserve">陪伴的價值不在報酬率，但會回到你們的關係裡。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</si>
  <si>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請假陪同就醫｜花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、停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回合；孝親好感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、幸福感上升｜費用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-9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自己（陪同請假）；停走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輪；品格 孝親</t>
    </r>
    <r>
      <rPr>
        <sz val="10"/>
        <rFont val="Arial"/>
        <family val="0"/>
        <charset val="1"/>
      </rPr>
      <t xml:space="preserve">+1
2. </t>
    </r>
    <r>
      <rPr>
        <sz val="10"/>
        <rFont val="Noto Sans CJK SC"/>
        <family val="2"/>
      </rPr>
      <t xml:space="preserve">忙不過來，這次沒陪｜省下時間與錢，但父母有點失落（孝親好感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）｜效果：品格 孝親</t>
    </r>
    <r>
      <rPr>
        <sz val="10"/>
        <rFont val="Arial"/>
        <family val="0"/>
        <charset val="1"/>
      </rPr>
      <t xml:space="preserve">-1</t>
    </r>
  </si>
  <si>
    <r>
      <rPr>
        <sz val="10"/>
        <rFont val="Arial"/>
        <family val="0"/>
        <charset val="1"/>
      </rPr>
      <t xml:space="preserve">insurable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medical</t>
    </r>
  </si>
  <si>
    <t xml:space="preserve">M6</t>
  </si>
  <si>
    <t xml:space="preserve">LE09</t>
  </si>
  <si>
    <t xml:space="preserve">照顧生病的家人</t>
  </si>
  <si>
    <t xml:space="preserve">家人住院了，需要有人在身邊。</t>
  </si>
  <si>
    <t xml:space="preserve">時間與金錢常要二選一，沒有標準答案。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</si>
  <si>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親自照顧｜花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、停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回合；孝親好感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、幸福感上升｜費用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自己（照護支出）；停走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輪；品格 孝親</t>
    </r>
    <r>
      <rPr>
        <sz val="10"/>
        <rFont val="Arial"/>
        <family val="0"/>
        <charset val="1"/>
      </rPr>
      <t xml:space="preserve">+1
2. </t>
    </r>
    <r>
      <rPr>
        <sz val="10"/>
        <rFont val="Noto Sans CJK SC"/>
        <family val="2"/>
      </rPr>
      <t xml:space="preserve">花錢請看護代勞｜花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、多花錢換時間，關係持平｜費用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自己（看護費）</t>
    </r>
  </si>
  <si>
    <t xml:space="preserve">LE12</t>
  </si>
  <si>
    <t xml:space="preserve">開車擦撞，對方要求賠償</t>
  </si>
  <si>
    <t xml:space="preserve">路口一個閃神，保險桿凹了一角。</t>
  </si>
  <si>
    <t xml:space="preserve">車險與緊急預備金，就是為這種「一定會發生的意外」準備的。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</si>
  <si>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-28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自己（修車與和解金）</t>
    </r>
  </si>
  <si>
    <r>
      <rPr>
        <sz val="10"/>
        <rFont val="Arial"/>
        <family val="0"/>
        <charset val="1"/>
      </rPr>
      <t xml:space="preserve">insurable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accident</t>
    </r>
  </si>
  <si>
    <t xml:space="preserve">LE13</t>
  </si>
  <si>
    <t xml:space="preserve">騎車犁田，手臂擦傷</t>
  </si>
  <si>
    <t xml:space="preserve">雨天路滑，人和車一起滑出去。</t>
  </si>
  <si>
    <t xml:space="preserve">機車族的醫療與修車支出，發生率比想像高得多。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</si>
  <si>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自己（醫療自付與修車）</t>
    </r>
  </si>
  <si>
    <t xml:space="preserve">LE14</t>
  </si>
  <si>
    <t xml:space="preserve">寵物生病掛急診</t>
  </si>
  <si>
    <t xml:space="preserve">半夜牠一直吐，你抱著牠衝獸醫院。</t>
  </si>
  <si>
    <t xml:space="preserve">獸醫沒有健保——養寵物前，醫療預備金要先想好。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</si>
  <si>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自己（獸醫急診費）</t>
    </r>
  </si>
  <si>
    <r>
      <rPr>
        <sz val="10"/>
        <rFont val="Arial"/>
        <family val="0"/>
        <charset val="1"/>
      </rPr>
      <t xml:space="preserve">family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pet</t>
    </r>
  </si>
  <si>
    <t xml:space="preserve">LE15</t>
  </si>
  <si>
    <t xml:space="preserve">交往對象出現了</t>
  </si>
  <si>
    <t xml:space="preserve">聊得來的人不常有，這次好像是真的。</t>
  </si>
  <si>
    <t xml:space="preserve">感情是資產負債表外最重要的一項，但約會預算要入表。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</si>
  <si>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認真交往｜一次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（治裝與約會）＋每月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約會開銷｜費用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自己（治裝與約會）；每月支出（限時） </t>
    </r>
    <r>
      <rPr>
        <sz val="10"/>
        <rFont val="Arial"/>
        <family val="0"/>
        <charset val="1"/>
      </rPr>
      <t xml:space="preserve">+4</t>
    </r>
    <r>
      <rPr>
        <sz val="10"/>
        <rFont val="Noto Sans CJK SC"/>
        <family val="2"/>
      </rPr>
      <t xml:space="preserve">（每月約會開銷）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先專注拚事業｜把時間與錢留給自己</t>
    </r>
  </si>
  <si>
    <t xml:space="preserve">EVT_GRAD_TRIP_PARIS_BALI</t>
  </si>
  <si>
    <t xml:space="preserve">一生一次的畢業旅行</t>
  </si>
  <si>
    <t xml:space="preserve">開拓視野不一定要背負沉重債務；用適合自己口袋的方式創造回憶，才不會讓未來的自己替現在的浪漫買單。</t>
  </si>
  <si>
    <t xml:space="preserve">體驗無價，但打腫臉充胖子的分期付款會讓未來的現金流嚴重窒息。</t>
  </si>
  <si>
    <r>
      <rPr>
        <sz val="10"/>
        <rFont val="Arial"/>
        <family val="0"/>
        <charset val="1"/>
      </rPr>
      <t xml:space="preserve">1. 🚲 </t>
    </r>
    <r>
      <rPr>
        <sz val="10"/>
        <rFont val="Noto Sans CJK SC"/>
        <family val="2"/>
      </rPr>
      <t xml:space="preserve">去新北淡水八里（小資浪漫）｜支出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、幸福感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，情緒修養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；品格 情緒</t>
    </r>
    <r>
      <rPr>
        <sz val="10"/>
        <rFont val="Arial"/>
        <family val="0"/>
        <charset val="1"/>
      </rPr>
      <t xml:space="preserve">+1
2. ✈️ </t>
    </r>
    <r>
      <rPr>
        <sz val="10"/>
        <rFont val="Noto Sans CJK SC"/>
        <family val="2"/>
      </rPr>
      <t xml:space="preserve">飛法國巴黎（奢華遠征）｜支出 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、幸福感 </t>
    </r>
    <r>
      <rPr>
        <sz val="10"/>
        <rFont val="Arial"/>
        <family val="0"/>
        <charset val="1"/>
      </rPr>
      <t xml:space="preserve">+4</t>
    </r>
    <r>
      <rPr>
        <sz val="10"/>
        <rFont val="Noto Sans CJK SC"/>
        <family val="2"/>
      </rPr>
      <t xml:space="preserve">，獲國際視野｜費用 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-80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+4</t>
    </r>
  </si>
  <si>
    <t xml:space="preserve">青春與成長</t>
  </si>
  <si>
    <t xml:space="preserve">CHOICE_MOTO_MONKEY</t>
  </si>
  <si>
    <t xml:space="preserve">山道猴子的重機誘惑</t>
  </si>
  <si>
    <r>
      <rPr>
        <sz val="10"/>
        <rFont val="Noto Sans CJK SC"/>
        <family val="2"/>
      </rPr>
      <t xml:space="preserve">車行老闆熱情招攬：『少年欸，零元交車、免頭期，分期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期輕鬆繳，再送全車彩貼！』</t>
    </r>
  </si>
  <si>
    <t xml:space="preserve">買車是一時的快感，養車是每月雷打不動的現金流失血（油錢、保養、保險、折舊）。</t>
  </si>
  <si>
    <r>
      <rPr>
        <sz val="10"/>
        <rFont val="Arial"/>
        <family val="0"/>
        <charset val="1"/>
      </rPr>
      <t xml:space="preserve">1. 🛵 </t>
    </r>
    <r>
      <rPr>
        <sz val="10"/>
        <rFont val="Noto Sans CJK SC"/>
        <family val="2"/>
      </rPr>
      <t xml:space="preserve">騎家裡買菜車｜理智清醒，支出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，謹慎修養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｜效果：品格 守法謹慎</t>
    </r>
    <r>
      <rPr>
        <sz val="10"/>
        <rFont val="Arial"/>
        <family val="0"/>
        <charset val="1"/>
      </rPr>
      <t xml:space="preserve">+1
2. 🏍 </t>
    </r>
    <r>
      <rPr>
        <sz val="10"/>
        <rFont val="Noto Sans CJK SC"/>
        <family val="2"/>
      </rPr>
      <t xml:space="preserve">簽下去零元交車｜每月固定支出 </t>
    </r>
    <r>
      <rPr>
        <sz val="10"/>
        <rFont val="Arial"/>
        <family val="0"/>
        <charset val="1"/>
      </rPr>
      <t xml:space="preserve">+4.5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年，幸福感 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｜效果：每月支出（限時） </t>
    </r>
    <r>
      <rPr>
        <sz val="10"/>
        <rFont val="Arial"/>
        <family val="0"/>
        <charset val="1"/>
      </rPr>
      <t xml:space="preserve">+4.5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輪；幸福感 </t>
    </r>
    <r>
      <rPr>
        <sz val="10"/>
        <rFont val="Arial"/>
        <family val="0"/>
        <charset val="1"/>
      </rPr>
      <t xml:space="preserve">+3</t>
    </r>
  </si>
  <si>
    <t xml:space="preserve">生活誘惑</t>
  </si>
  <si>
    <t xml:space="preserve">CHOICE_SUGAR_AUNTIE</t>
  </si>
  <si>
    <t xml:space="preserve">神秘名媛的捷徑私訊</t>
  </si>
  <si>
    <t xml:space="preserve">私訊說只要「借」提款卡和帳戶給她走帳幾天，就先給十萬謝禮，還要介紹貴人。</t>
  </si>
  <si>
    <t xml:space="preserve">借出銀行帳戶在法律上視為詐欺幫助犯，將面臨帳戶凍結與全額求償。</t>
  </si>
  <si>
    <r>
      <rPr>
        <sz val="10"/>
        <rFont val="Arial"/>
        <family val="0"/>
        <charset val="1"/>
      </rPr>
      <t xml:space="preserve">1. 💡 </t>
    </r>
    <r>
      <rPr>
        <sz val="10"/>
        <rFont val="Noto Sans CJK SC"/>
        <family val="2"/>
      </rPr>
      <t xml:space="preserve">果斷封鎖檢舉｜守住底線，謹慎修養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｜效果：品格 守法謹慎</t>
    </r>
    <r>
      <rPr>
        <sz val="10"/>
        <rFont val="Arial"/>
        <family val="0"/>
        <charset val="1"/>
      </rPr>
      <t xml:space="preserve">+1
2. ⚠️ </t>
    </r>
    <r>
      <rPr>
        <sz val="10"/>
        <rFont val="Noto Sans CJK SC"/>
        <family val="2"/>
      </rPr>
      <t xml:space="preserve">冒險走捷徑赴約｜現拿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，但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輪後帳戶遭凍結：追償 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、停走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輪、謹慎 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+100</t>
    </r>
    <r>
      <rPr>
        <sz val="10"/>
        <rFont val="Noto Sans CJK SC"/>
        <family val="2"/>
      </rPr>
      <t xml:space="preserve">；品格 守法謹慎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；延後引爆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輪後：現金 </t>
    </r>
    <r>
      <rPr>
        <sz val="10"/>
        <rFont val="Arial"/>
        <family val="0"/>
        <charset val="1"/>
      </rPr>
      <t xml:space="preserve">-130</t>
    </r>
    <r>
      <rPr>
        <sz val="10"/>
        <rFont val="Noto Sans CJK SC"/>
        <family val="2"/>
      </rPr>
      <t xml:space="preserve">；停走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輪；幸福感 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（人頭帳戶遭凍結，警示帳戶與被害人求償）</t>
    </r>
  </si>
  <si>
    <t xml:space="preserve">灰色誘惑</t>
  </si>
  <si>
    <t xml:space="preserve">CHOICE_DAY_TRADING_GOD</t>
  </si>
  <si>
    <t xml:space="preserve">少年股神當沖衝鋒</t>
  </si>
  <si>
    <t xml:space="preserve">論壇每天都在曬當沖無本翻倍對帳單，同學慫恿：『不開槓桿怎麼翻身？一萬塊也能玩！』</t>
  </si>
  <si>
    <t xml:space="preserve">過度自信與頻繁當沖是散戶資本蒸發的主因，唯有紀律與複利能穿越週期。</t>
  </si>
  <si>
    <r>
      <rPr>
        <sz val="10"/>
        <rFont val="Arial"/>
        <family val="0"/>
        <charset val="1"/>
      </rPr>
      <t xml:space="preserve">1. 📈 </t>
    </r>
    <r>
      <rPr>
        <sz val="10"/>
        <rFont val="Noto Sans CJK SC"/>
        <family val="2"/>
      </rPr>
      <t xml:space="preserve">堅持定期定額指數 </t>
    </r>
    <r>
      <rPr>
        <sz val="10"/>
        <rFont val="Arial"/>
        <family val="0"/>
        <charset val="1"/>
      </rPr>
      <t xml:space="preserve">ETF</t>
    </r>
    <r>
      <rPr>
        <sz val="10"/>
        <rFont val="Noto Sans CJK SC"/>
        <family val="2"/>
      </rPr>
      <t xml:space="preserve">｜穩健複利，守法謹慎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｜效果：品格 守法謹慎</t>
    </r>
    <r>
      <rPr>
        <sz val="10"/>
        <rFont val="Arial"/>
        <family val="0"/>
        <charset val="1"/>
      </rPr>
      <t xml:space="preserve">+1
2. 🎰 </t>
    </r>
    <r>
      <rPr>
        <sz val="10"/>
        <rFont val="Noto Sans CJK SC"/>
        <family val="2"/>
      </rPr>
      <t xml:space="preserve">賭一把全倉當沖｜違約交割慘賠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，幸福感 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-150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-2</t>
    </r>
  </si>
  <si>
    <t xml:space="preserve">投資考驗</t>
  </si>
  <si>
    <t xml:space="preserve">CHOICE_CONTRACT_LOOPHOLE</t>
  </si>
  <si>
    <t xml:space="preserve">合約漏洞的道德抉擇</t>
  </si>
  <si>
    <t xml:space="preserve">商譽是累積最慢、摧毀最快的無形資產；在沒人看見時做出的決定定義了你的品德。</t>
  </si>
  <si>
    <t xml:space="preserve">誠信經商在短期看似放棄便宜，長期卻能累積最深厚的人脈信任紅利。</t>
  </si>
  <si>
    <r>
      <rPr>
        <sz val="10"/>
        <rFont val="Arial"/>
        <family val="0"/>
        <charset val="1"/>
      </rPr>
      <t xml:space="preserve">1. 🤝 </t>
    </r>
    <r>
      <rPr>
        <sz val="10"/>
        <rFont val="Noto Sans CJK SC"/>
        <family val="2"/>
      </rPr>
      <t xml:space="preserve">主動告知並重新修正合約｜守法謹慎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，幸福感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｜效果：品格 守法謹慎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+1
2. 💸 </t>
    </r>
    <r>
      <rPr>
        <sz val="10"/>
        <rFont val="Noto Sans CJK SC"/>
        <family val="2"/>
      </rPr>
      <t xml:space="preserve">裝作不知情鑽漏洞解約｜現賺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，但謹慎 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+100</t>
    </r>
    <r>
      <rPr>
        <sz val="10"/>
        <rFont val="Noto Sans CJK SC"/>
        <family val="2"/>
      </rPr>
      <t xml:space="preserve">；品格 守法謹慎</t>
    </r>
    <r>
      <rPr>
        <sz val="10"/>
        <rFont val="Arial"/>
        <family val="0"/>
        <charset val="1"/>
      </rPr>
      <t xml:space="preserve">-2</t>
    </r>
  </si>
  <si>
    <t xml:space="preserve">商業誠信</t>
  </si>
  <si>
    <t xml:space="preserve">DAILY_CRAM_SCHOOL_BILL</t>
  </si>
  <si>
    <t xml:space="preserve">孩子的補習班繳費單</t>
  </si>
  <si>
    <t xml:space="preserve">繳費單上的數字，是每個月默默省下來的餐費與加班換來的。</t>
  </si>
  <si>
    <t xml:space="preserve">教育是報酬率最高的長期投資，但它是真金白銀的固定支出——要排進預算，不是靠餘錢。</t>
  </si>
  <si>
    <r>
      <rPr>
        <sz val="10"/>
        <rFont val="Arial"/>
        <family val="0"/>
        <charset val="1"/>
      </rPr>
      <t xml:space="preserve">1. 📖 </t>
    </r>
    <r>
      <rPr>
        <sz val="10"/>
        <rFont val="Noto Sans CJK SC"/>
        <family val="2"/>
      </rPr>
      <t xml:space="preserve">咬牙繳，陪孩子把書讀好｜支出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；教養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、幸福感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｜費用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-15</t>
    </r>
    <r>
      <rPr>
        <sz val="10"/>
        <rFont val="Noto Sans CJK SC"/>
        <family val="2"/>
      </rPr>
      <t xml:space="preserve">；品格 教養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+1
2. 🏠 </t>
    </r>
    <r>
      <rPr>
        <sz val="10"/>
        <rFont val="Noto Sans CJK SC"/>
        <family val="2"/>
      </rPr>
      <t xml:space="preserve">退掉補習，自己每晚盯功課｜省下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，但下班後的時間都沒了：幸福感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｜效果：幸福感 </t>
    </r>
    <r>
      <rPr>
        <sz val="10"/>
        <rFont val="Arial"/>
        <family val="0"/>
        <charset val="1"/>
      </rPr>
      <t xml:space="preserve">-1</t>
    </r>
  </si>
  <si>
    <t xml:space="preserve">家庭反思</t>
  </si>
  <si>
    <t xml:space="preserve">DAILY_PARENT_NIGHT_CALL</t>
  </si>
  <si>
    <t xml:space="preserve">長輩深夜的問候電話</t>
  </si>
  <si>
    <t xml:space="preserve">陪伴不是剩餘時間的施捨，而是情感帳戶的日常存款。</t>
  </si>
  <si>
    <t xml:space="preserve">再成功的事業也無法彌補家庭關係的疏離，溫暖傾聽能滋養一生的內心力量。</t>
  </si>
  <si>
    <r>
      <rPr>
        <sz val="10"/>
        <rFont val="Arial"/>
        <family val="0"/>
        <charset val="1"/>
      </rPr>
      <t xml:space="preserve">1. ❤️ </t>
    </r>
    <r>
      <rPr>
        <sz val="10"/>
        <rFont val="Noto Sans CJK SC"/>
        <family val="2"/>
      </rPr>
      <t xml:space="preserve">放慢呼吸耐心聆聽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分鐘｜孝親好感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，幸福感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｜效果：品格 孝親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；幸福感 </t>
    </r>
    <r>
      <rPr>
        <sz val="10"/>
        <rFont val="Arial"/>
        <family val="0"/>
        <charset val="1"/>
      </rPr>
      <t xml:space="preserve">+1
2. 💨 </t>
    </r>
    <r>
      <rPr>
        <sz val="10"/>
        <rFont val="Noto Sans CJK SC"/>
        <family val="2"/>
      </rPr>
      <t xml:space="preserve">抱怨疲累匆匆掛斷｜孝親好感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｜效果：品格 孝親</t>
    </r>
    <r>
      <rPr>
        <sz val="10"/>
        <rFont val="Arial"/>
        <family val="0"/>
        <charset val="1"/>
      </rPr>
      <t xml:space="preserve">-1</t>
    </r>
  </si>
  <si>
    <t xml:space="preserve">孝親家庭</t>
  </si>
  <si>
    <t xml:space="preserve">LE_INDEPENDENT_DIRECTOR</t>
  </si>
  <si>
    <t xml:space="preserve">SPECIAL</t>
  </si>
  <si>
    <t xml:space="preserve">知名企業獨立董事邀請</t>
  </si>
  <si>
    <t xml:space="preserve">獵頭推薦高階董監席次，享每月車馬費與社會聲望，但須承擔重大連帶法定義務。</t>
  </si>
  <si>
    <t xml:space="preserve">董事會審計委員會的席次虛位以待，車馬費優厚，但也是地雷公司的祭品首選。</t>
  </si>
  <si>
    <t xml:space="preserve">獨立董事不只是車馬費；若缺乏審計查核能力，假帳弊案爆發時要面對連帶民事賠償（現實中動輒上億）。</t>
  </si>
  <si>
    <t xml:space="preserve">APPOINT_DIRECTOR</t>
  </si>
  <si>
    <r>
      <rPr>
        <sz val="10"/>
        <rFont val="Arial"/>
        <family val="0"/>
        <charset val="1"/>
      </rPr>
      <t xml:space="preserve">SKL_BOOK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SKL_CPA_AUDIT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SKL_LAW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SKL_GOV_LEGAL</t>
    </r>
  </si>
  <si>
    <t xml:space="preserve">獨立董監</t>
  </si>
  <si>
    <t xml:space="preserve">SKE_OT</t>
  </si>
  <si>
    <t xml:space="preserve">公司臨時接了急單，連兩週加班</t>
  </si>
  <si>
    <t xml:space="preserve">下班走出大樓時，補習班已經拉下鐵門。</t>
  </si>
  <si>
    <t xml:space="preserve">學習最貴的成本從來不是學費，是你被別的事情吃掉的時間。</t>
  </si>
  <si>
    <r>
      <rPr>
        <sz val="10"/>
        <rFont val="Noto Sans CJK SC"/>
        <family val="2"/>
      </rPr>
      <t xml:space="preserve">學習延後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輪（加班中斷進度）</t>
    </r>
  </si>
  <si>
    <t xml:space="preserve">M8</t>
  </si>
  <si>
    <t xml:space="preserve">skill.json</t>
  </si>
  <si>
    <t xml:space="preserve">SKE_CAREGIVE</t>
  </si>
  <si>
    <t xml:space="preserve">家裡有人住院，你請假輪班照顧</t>
  </si>
  <si>
    <t xml:space="preserve">課本躺在醫院陪病床邊，一頁都沒翻。</t>
  </si>
  <si>
    <t xml:space="preserve">人生不會等你把課上完才發生。計畫要留餘裕，餘裕就是你的護城河。</t>
  </si>
  <si>
    <r>
      <rPr>
        <sz val="10"/>
        <rFont val="Noto Sans CJK SC"/>
        <family val="2"/>
      </rPr>
      <t xml:space="preserve">學習延後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輪（照顧家人中斷進度）；現金 </t>
    </r>
    <r>
      <rPr>
        <sz val="10"/>
        <rFont val="Arial"/>
        <family val="0"/>
        <charset val="1"/>
      </rPr>
      <t xml:space="preserve">-8</t>
    </r>
    <r>
      <rPr>
        <sz val="10"/>
        <rFont val="Noto Sans CJK SC"/>
        <family val="2"/>
      </rPr>
      <t xml:space="preserve">（看護與交通）</t>
    </r>
  </si>
  <si>
    <t xml:space="preserve">SKE_INTRAIN</t>
  </si>
  <si>
    <t xml:space="preserve">公司開了一堂內訓，人資問你要不要去</t>
  </si>
  <si>
    <t xml:space="preserve">名額有限，週六整天，不強制。</t>
  </si>
  <si>
    <t xml:space="preserve">別人給的機會也是機會——但通常只留給願意犧牲週六的人。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</si>
  <si>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（教材與交通）；送技能 </t>
    </r>
    <r>
      <rPr>
        <sz val="10"/>
        <rFont val="Arial"/>
        <family val="0"/>
        <charset val="1"/>
      </rPr>
      <t xml:space="preserve">SKL_BOOK</t>
    </r>
    <r>
      <rPr>
        <sz val="10"/>
        <rFont val="Noto Sans CJK SC"/>
        <family val="2"/>
      </rPr>
      <t xml:space="preserve">（公司內訓）</t>
    </r>
  </si>
  <si>
    <t xml:space="preserve">SKL_BOOK</t>
  </si>
  <si>
    <t xml:space="preserve">PROFESSION_EVENT</t>
  </si>
  <si>
    <t xml:space="preserve">會計師考試放榜季</t>
  </si>
  <si>
    <t xml:space="preserve">學長姐都說：熬過去，名字就不一樣了。</t>
  </si>
  <si>
    <t xml:space="preserve">證照是用今天的現金與時間，買未來每個月的加薪——這就是投資自己。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</si>
  <si>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全力衝刺應考｜支出 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，停走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回合，考取後薪資 </t>
    </r>
    <r>
      <rPr>
        <sz val="10"/>
        <rFont val="Arial"/>
        <family val="0"/>
        <charset val="1"/>
      </rPr>
      <t xml:space="preserve">+40%</t>
    </r>
    <r>
      <rPr>
        <sz val="10"/>
        <rFont val="Noto Sans CJK SC"/>
        <family val="2"/>
      </rPr>
      <t xml:space="preserve">｜效果：現金 </t>
    </r>
    <r>
      <rPr>
        <sz val="10"/>
        <rFont val="Arial"/>
        <family val="0"/>
        <charset val="1"/>
      </rPr>
      <t xml:space="preserve">-80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自己（補習與考試費）；停走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輪；薪水</t>
    </r>
    <r>
      <rPr>
        <sz val="10"/>
        <rFont val="Arial"/>
        <family val="0"/>
        <charset val="1"/>
      </rPr>
      <t xml:space="preserve">× ×1.4</t>
    </r>
    <r>
      <rPr>
        <sz val="10"/>
        <rFont val="Noto Sans CJK SC"/>
        <family val="2"/>
      </rPr>
      <t xml:space="preserve">（考取會計師）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今年先不考｜保留現金與時間</t>
    </r>
  </si>
  <si>
    <t xml:space="preserve">分紅入帳日</t>
  </si>
  <si>
    <t xml:space="preserve">全公司的走廊今天都在笑。</t>
  </si>
  <si>
    <t xml:space="preserve">一次性獎金是存量不是流量——它不會讓你自由，除非你把它換成會生現金流的資產。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</si>
  <si>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+220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自己（年度分紅）</t>
    </r>
  </si>
  <si>
    <r>
      <rPr>
        <sz val="10"/>
        <rFont val="Arial"/>
        <family val="0"/>
        <charset val="1"/>
      </rPr>
      <t xml:space="preserve">career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windfall</t>
    </r>
  </si>
  <si>
    <t xml:space="preserve">OUTER_LIFE</t>
  </si>
  <si>
    <t xml:space="preserve">OL_D01</t>
  </si>
  <si>
    <t xml:space="preserve">熱水器壽終正寢</t>
  </si>
  <si>
    <t xml:space="preserve">洗到一半變冷水，人生突然很清醒。</t>
  </si>
  <si>
    <t xml:space="preserve">自由圈沒有薪水，柴米油鹽照樣找上門——生活準備金不能圓夢圓掉。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</si>
  <si>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-35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自己（換新熱水器）</t>
    </r>
  </si>
  <si>
    <t xml:space="preserve">outer.json</t>
  </si>
  <si>
    <t xml:space="preserve">OL_D02</t>
  </si>
  <si>
    <t xml:space="preserve">愛車十萬公里大保養</t>
  </si>
  <si>
    <t xml:space="preserve">技師搖頭的樣子，比報價單還貴。</t>
  </si>
  <si>
    <t xml:space="preserve">資產要維護，生活工具也要。折舊是看不見的月支出。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</si>
  <si>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自己（大保養與換件）</t>
    </r>
  </si>
  <si>
    <t xml:space="preserve">OL_D03</t>
  </si>
  <si>
    <t xml:space="preserve">植牙自費療程</t>
  </si>
  <si>
    <t xml:space="preserve">牙醫說：這顆保不住了。</t>
  </si>
  <si>
    <t xml:space="preserve">健保之外的自費醫療，是中年後最常見的財務突襲。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</si>
  <si>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-60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自己（植牙自費）</t>
    </r>
  </si>
  <si>
    <r>
      <rPr>
        <sz val="10"/>
        <rFont val="Arial"/>
        <family val="0"/>
        <charset val="1"/>
      </rPr>
      <t xml:space="preserve">medical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insurable</t>
    </r>
  </si>
  <si>
    <t xml:space="preserve">OL_D04</t>
  </si>
  <si>
    <t xml:space="preserve">房屋稅＋地價稅季</t>
  </si>
  <si>
    <t xml:space="preserve">持有資產的人，才收得到這種信。</t>
  </si>
  <si>
    <t xml:space="preserve">持有成本：資產越多、稅單越厚，這是被動收入的固定摩擦。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</si>
  <si>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-40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自己（持有稅負）</t>
    </r>
  </si>
  <si>
    <t xml:space="preserve">OL_D05</t>
  </si>
  <si>
    <t xml:space="preserve">姪女的喜酒紅包</t>
  </si>
  <si>
    <t xml:space="preserve">長輩桌，紅包厚度就是輩分。</t>
  </si>
  <si>
    <t xml:space="preserve">人情往來是預算科目，不是意外。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</si>
  <si>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-22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自己（紅包與治裝）</t>
    </r>
  </si>
  <si>
    <t xml:space="preserve">OL_D06</t>
  </si>
  <si>
    <t xml:space="preserve">冰箱冷氣一起罷工</t>
  </si>
  <si>
    <t xml:space="preserve">家電有默契，總是揪團壞。</t>
  </si>
  <si>
    <t xml:space="preserve">耐久財的更換週期會重疊——備一筆家庭設備金。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</si>
  <si>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-55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自己（家電汰換）</t>
    </r>
  </si>
  <si>
    <t xml:space="preserve">OL_L01</t>
  </si>
  <si>
    <t xml:space="preserve">頭等艙環歐三週</t>
  </si>
  <si>
    <t xml:space="preserve">躺平的機票，站著的價格。</t>
  </si>
  <si>
    <t xml:space="preserve">奢侈不是罪，問題是它常在你最有錢的錯覺裡出現。</t>
  </si>
  <si>
    <t xml:space="preserve">OL_L02</t>
  </si>
  <si>
    <t xml:space="preserve">私廚包場宴請老友</t>
  </si>
  <si>
    <t xml:space="preserve">主廚只服務你們這一桌。</t>
  </si>
  <si>
    <t xml:space="preserve">體驗型消費的幸福感很真，帳單也很真。</t>
  </si>
  <si>
    <t xml:space="preserve">OL_L03</t>
  </si>
  <si>
    <t xml:space="preserve">限量腕錶入手機會</t>
  </si>
  <si>
    <t xml:space="preserve">櫃姐說：全台只有三只。</t>
  </si>
  <si>
    <t xml:space="preserve">「稀有」是行銷字眼，不是投資屬性。</t>
  </si>
  <si>
    <t xml:space="preserve">OL_L04</t>
  </si>
  <si>
    <t xml:space="preserve">郵輪套房環太平洋</t>
  </si>
  <si>
    <t xml:space="preserve">陽台外是整片海，帳單外是整片零。</t>
  </si>
  <si>
    <t xml:space="preserve">大額享受請用現金流的盈餘付，不要動到本金引擎。</t>
  </si>
  <si>
    <t xml:space="preserve">OL_L05</t>
  </si>
  <si>
    <t xml:space="preserve">私人俱樂部會籍</t>
  </si>
  <si>
    <t xml:space="preserve">入會費只是門票，月費才是人生。</t>
  </si>
  <si>
    <t xml:space="preserve">排場稅：一次性花費會結束，每月固定支出不會。</t>
  </si>
  <si>
    <t xml:space="preserve">OL_V01</t>
  </si>
  <si>
    <t xml:space="preserve">TAPESTRY</t>
  </si>
  <si>
    <t xml:space="preserve">TRIAL</t>
  </si>
  <si>
    <t xml:space="preserve">朋友起鬨合資遊艇</t>
  </si>
  <si>
    <t xml:space="preserve">「你現在財務自由欸，這點錢算什麼？」</t>
  </si>
  <si>
    <t xml:space="preserve">好大喜功的錢多半不是自己想花的，是被氣氛花掉的。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</si>
  <si>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：你笑著說改天先租一天試試，話題就過了。｜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：面子上掛不住，你簽了合資意向書。｜現金 </t>
    </r>
    <r>
      <rPr>
        <sz val="10"/>
        <rFont val="Arial"/>
        <family val="0"/>
        <charset val="1"/>
      </rPr>
      <t xml:space="preserve">-380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自己（遊艇合資款）</t>
    </r>
  </si>
  <si>
    <t xml:space="preserve">OL_V02</t>
  </si>
  <si>
    <t xml:space="preserve">同學會全場我買單</t>
  </si>
  <si>
    <t xml:space="preserve">二十年沒見，誰都不想輸。</t>
  </si>
  <si>
    <t xml:space="preserve">跟過去的自己比，不要跟同學的排場比。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</si>
  <si>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：你點到為止，各付各的也聊得盡興。｜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：一句「今晚我請」，整層樓的酒都上了。｜現金 </t>
    </r>
    <r>
      <rPr>
        <sz val="10"/>
        <rFont val="Arial"/>
        <family val="0"/>
        <charset val="1"/>
      </rPr>
      <t xml:space="preserve">-150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自己（全場買單）</t>
    </r>
  </si>
  <si>
    <t xml:space="preserve">OL_V03</t>
  </si>
  <si>
    <t xml:space="preserve">網紅朋友的豪宅喬遷趴</t>
  </si>
  <si>
    <t xml:space="preserve">伴手禮的行情，是用背景牆決定的。</t>
  </si>
  <si>
    <t xml:space="preserve">社交通膨：圈子越亮，跟著亮的是你的支出。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</si>
  <si>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：你帶了誠意剛好的禮，賓主盡歡。｜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：你訂了整箱年份香檳外加名牌家電。｜現金 </t>
    </r>
    <r>
      <rPr>
        <sz val="10"/>
        <rFont val="Arial"/>
        <family val="0"/>
        <charset val="1"/>
      </rPr>
      <t xml:space="preserve">-220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自己（排場伴手禮）</t>
    </r>
  </si>
  <si>
    <t xml:space="preserve">OL_S01</t>
  </si>
  <si>
    <r>
      <rPr>
        <sz val="10"/>
        <rFont val="Noto Sans CJK SC"/>
        <family val="2"/>
      </rPr>
      <t xml:space="preserve">保證月配 </t>
    </r>
    <r>
      <rPr>
        <sz val="10"/>
        <rFont val="Arial"/>
        <family val="0"/>
        <charset val="1"/>
      </rPr>
      <t xml:space="preserve">8% </t>
    </r>
    <r>
      <rPr>
        <sz val="10"/>
        <rFont val="Noto Sans CJK SC"/>
        <family val="2"/>
      </rPr>
      <t xml:space="preserve">的海外基金</t>
    </r>
  </si>
  <si>
    <t xml:space="preserve">「名額只留給像您這樣的高資產客戶。」</t>
  </si>
  <si>
    <r>
      <rPr>
        <sz val="10"/>
        <rFont val="Noto Sans CJK SC"/>
        <family val="2"/>
      </rPr>
      <t xml:space="preserve">報酬高得不合理，就是風險高得不合理——世上沒有保證 </t>
    </r>
    <r>
      <rPr>
        <sz val="10"/>
        <rFont val="Arial"/>
        <family val="0"/>
        <charset val="1"/>
      </rPr>
      <t xml:space="preserve">8%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</si>
  <si>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：你問他金管會核備字號，對方已讀不回。｜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：你匯了款，網站三週後打不開。｜現金 </t>
    </r>
    <r>
      <rPr>
        <sz val="10"/>
        <rFont val="Arial"/>
        <family val="0"/>
        <charset val="1"/>
      </rPr>
      <t xml:space="preserve">-400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自己（投資詐騙損失）</t>
    </r>
  </si>
  <si>
    <t xml:space="preserve">OL_S02</t>
  </si>
  <si>
    <r>
      <rPr>
        <sz val="10"/>
        <rFont val="Noto Sans CJK SC"/>
        <family val="2"/>
      </rPr>
      <t xml:space="preserve">銀行來電：帳戶需要升級 </t>
    </r>
    <r>
      <rPr>
        <sz val="10"/>
        <rFont val="Arial"/>
        <family val="0"/>
        <charset val="1"/>
      </rPr>
      <t xml:space="preserve">VIP</t>
    </r>
  </si>
  <si>
    <t xml:space="preserve">對方連你上一筆消費都說得出來。</t>
  </si>
  <si>
    <r>
      <rPr>
        <sz val="10"/>
        <rFont val="Noto Sans CJK SC"/>
        <family val="2"/>
      </rPr>
      <t xml:space="preserve">真的銀行不會電話裡要你操作轉帳。掛掉，打 </t>
    </r>
    <r>
      <rPr>
        <sz val="10"/>
        <rFont val="Arial"/>
        <family val="0"/>
        <charset val="1"/>
      </rPr>
      <t xml:space="preserve">165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</si>
  <si>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：你掛斷回撥官方客服，確認是詐騙。｜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：你照著指示到 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「解除設定」。｜現金 </t>
    </r>
    <r>
      <rPr>
        <sz val="10"/>
        <rFont val="Arial"/>
        <family val="0"/>
        <charset val="1"/>
      </rPr>
      <t xml:space="preserve">-250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自己（轉帳詐騙損失）</t>
    </r>
  </si>
  <si>
    <t xml:space="preserve">OL_S03</t>
  </si>
  <si>
    <t xml:space="preserve">老同學的元宇宙土地案</t>
  </si>
  <si>
    <t xml:space="preserve">「早期投資人已經翻了五倍。」</t>
  </si>
  <si>
    <t xml:space="preserve">熟人推薦是詐騙最好的包裝紙；查證對事不對人。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</si>
  <si>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：你要白皮書和地政資料，他開始顧左右而言他。｜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：看在交情，你投了一個單位。｜現金 </t>
    </r>
    <r>
      <rPr>
        <sz val="10"/>
        <rFont val="Arial"/>
        <family val="0"/>
        <charset val="1"/>
      </rPr>
      <t xml:space="preserve">-300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自己（虛擬資產詐騙）</t>
    </r>
  </si>
  <si>
    <t xml:space="preserve">OL_H01</t>
  </si>
  <si>
    <t xml:space="preserve">健檢紅字：確診初期癌症</t>
  </si>
  <si>
    <t xml:space="preserve">醫師說發現得早，但治療不能等。</t>
  </si>
  <si>
    <t xml:space="preserve">重大傷病是財務自由最大的壓力測試——現金墊要扛得住自費療程加上停下來的日子。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</si>
  <si>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-500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自己（自費標靶療程）；停走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自己（入院治療）；每月支出（限時） </t>
    </r>
    <r>
      <rPr>
        <sz val="10"/>
        <rFont val="Arial"/>
        <family val="0"/>
        <charset val="1"/>
      </rPr>
      <t xml:space="preserve">+25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自己（療程與看護）</t>
    </r>
  </si>
  <si>
    <t xml:space="preserve">OL_H02</t>
  </si>
  <si>
    <t xml:space="preserve">縱走山徑重摔</t>
  </si>
  <si>
    <t xml:space="preserve">直升機的聲音越近，帳單越厚。</t>
  </si>
  <si>
    <t xml:space="preserve">追夢的路上也要買得起意外——體力與現金墊都是裝備。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</si>
  <si>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-350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自己（手術與復健）；停走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自己（臥床復健）；每月支出（限時） </t>
    </r>
    <r>
      <rPr>
        <sz val="10"/>
        <rFont val="Arial"/>
        <family val="0"/>
        <charset val="1"/>
      </rPr>
      <t xml:space="preserve">+15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自己（復健療程）</t>
    </r>
  </si>
  <si>
    <r>
      <rPr>
        <sz val="10"/>
        <rFont val="Arial"/>
        <family val="0"/>
        <charset val="1"/>
      </rPr>
      <t xml:space="preserve">accident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insurable</t>
    </r>
  </si>
  <si>
    <t xml:space="preserve">OL_G01</t>
  </si>
  <si>
    <t xml:space="preserve">舊藏字畫拍出高價</t>
  </si>
  <si>
    <t xml:space="preserve">當年隨手買的，如今是「早期眼光」。</t>
  </si>
  <si>
    <t xml:space="preserve">流動性差的收藏偶爾也會開花，但別把它當理財主軸。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</si>
  <si>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+180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自己（拍賣所得）</t>
    </r>
  </si>
  <si>
    <t xml:space="preserve">OL_G02</t>
  </si>
  <si>
    <t xml:space="preserve">年輕時投資的樂團爆紅</t>
  </si>
  <si>
    <t xml:space="preserve">版稅條款當年只是義氣，現在是被動收入。</t>
  </si>
  <si>
    <t xml:space="preserve">早年播的種，有些真的會發芽。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</si>
  <si>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+120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自己（版稅分潤）</t>
    </r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</si>
  <si>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內容盤點｜生活消費卡</t>
    </r>
  </si>
  <si>
    <r>
      <rPr>
        <i val="true"/>
        <sz val="9"/>
        <color rgb="FF666666"/>
        <rFont val="Arial"/>
        <family val="0"/>
        <charset val="1"/>
      </rPr>
      <t xml:space="preserve">LIFESTYLE 24 </t>
    </r>
    <r>
      <rPr>
        <i val="true"/>
        <sz val="9"/>
        <color rgb="FF666666"/>
        <rFont val="Noto Sans CJK SC"/>
        <family val="2"/>
      </rPr>
      <t xml:space="preserve">張：踩到生活格抽。可選＝玩家可拒買；非可選＝直接扣款。金額單位＝千元。</t>
    </r>
  </si>
  <si>
    <t xml:space="preserve">一次費用</t>
  </si>
  <si>
    <t xml:space="preserve">每月支出</t>
  </si>
  <si>
    <t xml:space="preserve">LS01</t>
  </si>
  <si>
    <t xml:space="preserve">最新款手機</t>
  </si>
  <si>
    <t xml:space="preserve">舊的還能用，但新的會拍星星。</t>
  </si>
  <si>
    <r>
      <rPr>
        <sz val="10"/>
        <rFont val="Noto Sans CJK SC"/>
        <family val="2"/>
      </rPr>
      <t xml:space="preserve">想要與需要的差別，通常只有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小時的耐心。</t>
    </r>
  </si>
  <si>
    <t xml:space="preserve">want</t>
  </si>
  <si>
    <t xml:space="preserve">LS02</t>
  </si>
  <si>
    <t xml:space="preserve">健身房兩年約</t>
  </si>
  <si>
    <t xml:space="preserve">教練說現在辦最划算。</t>
  </si>
  <si>
    <r>
      <rPr>
        <sz val="10"/>
        <rFont val="Noto Sans CJK SC"/>
        <family val="2"/>
      </rPr>
      <t xml:space="preserve">長約把一次性決定變成每月支出，簽名前先乘以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</si>
  <si>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want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recurring</t>
    </r>
  </si>
  <si>
    <t xml:space="preserve">LS03</t>
  </si>
  <si>
    <t xml:space="preserve">機車定期保養</t>
  </si>
  <si>
    <t xml:space="preserve">該換的還是要換。</t>
  </si>
  <si>
    <t xml:space="preserve">預期得到的維護費用不叫意外，叫預算。</t>
  </si>
  <si>
    <t xml:space="preserve">need</t>
  </si>
  <si>
    <t xml:space="preserve">LS04</t>
  </si>
  <si>
    <t xml:space="preserve">朋友婚禮紅包月</t>
  </si>
  <si>
    <t xml:space="preserve">這個月有三場。</t>
  </si>
  <si>
    <t xml:space="preserve">人情支出可以預測，卻最常被漏編列。</t>
  </si>
  <si>
    <t xml:space="preserve">LS05</t>
  </si>
  <si>
    <t xml:space="preserve">養一隻狗</t>
  </si>
  <si>
    <t xml:space="preserve">牠在收容所看著你。</t>
  </si>
  <si>
    <t xml:space="preserve">養寵物是一筆十五年的月支出承諾。</t>
  </si>
  <si>
    <t xml:space="preserve">LS06</t>
  </si>
  <si>
    <t xml:space="preserve">串流平台四台全開</t>
  </si>
  <si>
    <t xml:space="preserve">每台都有想看的。</t>
  </si>
  <si>
    <t xml:space="preserve">小額訂閱的殺傷力在於你不會取消它。</t>
  </si>
  <si>
    <t xml:space="preserve">LS07</t>
  </si>
  <si>
    <t xml:space="preserve">日本自由行</t>
  </si>
  <si>
    <t xml:space="preserve">機票剛好特價。</t>
  </si>
  <si>
    <t xml:space="preserve">旅行是好事，用現金流買比用信用卡買更好。</t>
  </si>
  <si>
    <t xml:space="preserve">LS08</t>
  </si>
  <si>
    <t xml:space="preserve">家電同時陣亡</t>
  </si>
  <si>
    <t xml:space="preserve">冰箱跟冷氣講好的。</t>
  </si>
  <si>
    <t xml:space="preserve">這就是為什麼要有緊急預備金。</t>
  </si>
  <si>
    <t xml:space="preserve">LS09</t>
  </si>
  <si>
    <t xml:space="preserve">牙齒治療</t>
  </si>
  <si>
    <t xml:space="preserve">拖了半年的那顆。</t>
  </si>
  <si>
    <t xml:space="preserve">健康支出拖越久越貴，這是負利率的支出。</t>
  </si>
  <si>
    <r>
      <rPr>
        <sz val="10"/>
        <rFont val="Arial"/>
        <family val="0"/>
        <charset val="1"/>
      </rPr>
      <t xml:space="preserve">insurable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health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medical</t>
    </r>
  </si>
  <si>
    <t xml:space="preserve">LS10</t>
  </si>
  <si>
    <t xml:space="preserve">換季治裝</t>
  </si>
  <si>
    <t xml:space="preserve">衣櫃裡永遠少一件。</t>
  </si>
  <si>
    <t xml:space="preserve">固定小額支出乘以十二，才是它真正的價格。</t>
  </si>
  <si>
    <t xml:space="preserve">LS11</t>
  </si>
  <si>
    <t xml:space="preserve">車險與燃料稅</t>
  </si>
  <si>
    <t xml:space="preserve">每年這個時候。</t>
  </si>
  <si>
    <t xml:space="preserve">年繳費用要除以十二放進月支出，才看得到真實成本。</t>
  </si>
  <si>
    <t xml:space="preserve">LS12</t>
  </si>
  <si>
    <t xml:space="preserve">補習班學費</t>
  </si>
  <si>
    <t xml:space="preserve">別人的孩子都在補。</t>
  </si>
  <si>
    <t xml:space="preserve">教育投資也是支出，重點是它有沒有你要的回報。</t>
  </si>
  <si>
    <r>
      <rPr>
        <sz val="10"/>
        <rFont val="Arial"/>
        <family val="0"/>
        <charset val="1"/>
      </rPr>
      <t xml:space="preserve">need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family</t>
    </r>
  </si>
  <si>
    <t xml:space="preserve">LS13</t>
  </si>
  <si>
    <t xml:space="preserve">社區管理費調漲</t>
  </si>
  <si>
    <t xml:space="preserve">公告貼在電梯裡。</t>
  </si>
  <si>
    <t xml:space="preserve">住的成本會自己長大，投資的現金流不會自動跟上。</t>
  </si>
  <si>
    <r>
      <rPr>
        <sz val="10"/>
        <rFont val="Arial"/>
        <family val="0"/>
        <charset val="1"/>
      </rPr>
      <t xml:space="preserve">need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recurring</t>
    </r>
  </si>
  <si>
    <t xml:space="preserve">LS14</t>
  </si>
  <si>
    <t xml:space="preserve">手沖咖啡全套</t>
  </si>
  <si>
    <t xml:space="preserve">從此不用外帶咖啡了（真的嗎）。</t>
  </si>
  <si>
    <t xml:space="preserve">用一次性支出換未來省錢，先算清楚要幾杯才回本。</t>
  </si>
  <si>
    <t xml:space="preserve">LS16</t>
  </si>
  <si>
    <t xml:space="preserve">線上課程年費</t>
  </si>
  <si>
    <t xml:space="preserve">買了就等於學會了。</t>
  </si>
  <si>
    <t xml:space="preserve">買課的當下最有動力，續訂前先看看你上了幾堂。</t>
  </si>
  <si>
    <t xml:space="preserve">LS17</t>
  </si>
  <si>
    <t xml:space="preserve">養兩隻鸚鵡</t>
  </si>
  <si>
    <t xml:space="preserve">會學你講話，也會啃你的傢俱。</t>
  </si>
  <si>
    <t xml:space="preserve">寵物是十幾年的承諾：飼料、玩具、獸醫，每月都在帳上。</t>
  </si>
  <si>
    <r>
      <rPr>
        <sz val="10"/>
        <rFont val="Arial"/>
        <family val="0"/>
        <charset val="1"/>
      </rPr>
      <t xml:space="preserve">want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recurring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pet</t>
    </r>
  </si>
  <si>
    <t xml:space="preserve">LS18</t>
  </si>
  <si>
    <t xml:space="preserve">手遊限定轉蛋課金</t>
  </si>
  <si>
    <t xml:space="preserve">保底就在下一抽，機率寫在最下面一行。</t>
  </si>
  <si>
    <t xml:space="preserve">課金買的是機率，不是結果——期望值先算再刷。</t>
  </si>
  <si>
    <r>
      <rPr>
        <sz val="10"/>
        <rFont val="Arial"/>
        <family val="0"/>
        <charset val="1"/>
      </rPr>
      <t xml:space="preserve">want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game</t>
    </r>
  </si>
  <si>
    <t xml:space="preserve">LS19</t>
  </si>
  <si>
    <r>
      <rPr>
        <sz val="10"/>
        <rFont val="Arial"/>
        <family val="0"/>
        <charset val="1"/>
      </rPr>
      <t xml:space="preserve">KTV </t>
    </r>
    <r>
      <rPr>
        <sz val="10"/>
        <rFont val="Noto Sans CJK SC"/>
        <family val="2"/>
      </rPr>
      <t xml:space="preserve">包廂歡唱夜</t>
    </r>
  </si>
  <si>
    <t xml:space="preserve">切歌切到凌晨兩點，隔天嗓子啞掉。</t>
  </si>
  <si>
    <t xml:space="preserve">娛樂支出沒有錯，錯的是每次都「難得嘛」。</t>
  </si>
  <si>
    <r>
      <rPr>
        <sz val="10"/>
        <rFont val="Arial"/>
        <family val="0"/>
        <charset val="1"/>
      </rPr>
      <t xml:space="preserve">want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social</t>
    </r>
  </si>
  <si>
    <t xml:space="preserve">LS20</t>
  </si>
  <si>
    <t xml:space="preserve">飛海外看偶像演唱會</t>
  </si>
  <si>
    <t xml:space="preserve">機票加門票加周邊，青春無價但刷卡有價。</t>
  </si>
  <si>
    <t xml:space="preserve">為熱愛花錢可以，用循環利息付熱愛不行。</t>
  </si>
  <si>
    <r>
      <rPr>
        <sz val="10"/>
        <rFont val="Arial"/>
        <family val="0"/>
        <charset val="1"/>
      </rPr>
      <t xml:space="preserve">want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travel</t>
    </r>
  </si>
  <si>
    <t xml:space="preserve">LS21</t>
  </si>
  <si>
    <t xml:space="preserve">社團慶功宴</t>
  </si>
  <si>
    <t xml:space="preserve">孩子在校際比賽得獎，全隊一起吃火鍋慶祝，家長分攤餐費。</t>
  </si>
  <si>
    <t xml:space="preserve">孩子成長中的同儕社交與成就感，是千金難買的人生回憶。</t>
  </si>
  <si>
    <t xml:space="preserve">LS22</t>
  </si>
  <si>
    <t xml:space="preserve">校外教學與畢業紀念冊</t>
  </si>
  <si>
    <t xml:space="preserve">三天的校外教學行程加上厚厚的精裝紀念冊，留下青春紀錄。</t>
  </si>
  <si>
    <t xml:space="preserve">學校常態性的大額專案支出，考驗家庭短期週轉金的彈性。</t>
  </si>
  <si>
    <t xml:space="preserve">LS23</t>
  </si>
  <si>
    <t xml:space="preserve">孩子樂器採購與才藝比賽</t>
  </si>
  <si>
    <t xml:space="preserve">換上高階演奏級樂器，並報名全國音樂比賽。</t>
  </si>
  <si>
    <t xml:space="preserve">才藝教育的設備升級費用往往驚人，需要與家庭財務總體目標取得平衡。</t>
  </si>
  <si>
    <t xml:space="preserve">LS24</t>
  </si>
  <si>
    <t xml:space="preserve">暑期夏令營體驗</t>
  </si>
  <si>
    <t xml:space="preserve">雙薪家庭暑假無暇照顧，送孩子參加全美語戶外探索夏令營。</t>
  </si>
  <si>
    <t xml:space="preserve">暑期安親與營隊費用是現代雙薪家長每年固定的現金流重擔。</t>
  </si>
  <si>
    <t xml:space="preserve">LS25</t>
  </si>
  <si>
    <t xml:space="preserve">大學開學生活準備金</t>
  </si>
  <si>
    <t xml:space="preserve">孩子考上外縣市大學，採購筆電、機車與外宿日常用品。</t>
  </si>
  <si>
    <t xml:space="preserve">子女邁入成年自立前夕，是父母家庭教育資金支出的最高峰。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</si>
  <si>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內容盤點｜市場與總經卡</t>
    </r>
  </si>
  <si>
    <r>
      <rPr>
        <i val="true"/>
        <sz val="9"/>
        <color rgb="FF666666"/>
        <rFont val="Arial"/>
        <family val="0"/>
        <charset val="1"/>
      </rPr>
      <t xml:space="preserve">MARKET 12 </t>
    </r>
    <r>
      <rPr>
        <i val="true"/>
        <sz val="9"/>
        <color rgb="FF666666"/>
        <rFont val="Noto Sans CJK SC"/>
        <family val="2"/>
      </rPr>
      <t xml:space="preserve">張（踩市場格）＋ </t>
    </r>
    <r>
      <rPr>
        <i val="true"/>
        <sz val="9"/>
        <color rgb="FF666666"/>
        <rFont val="Arial"/>
        <family val="0"/>
        <charset val="1"/>
      </rPr>
      <t xml:space="preserve">MACRO_EVENT 20 </t>
    </r>
    <r>
      <rPr>
        <i val="true"/>
        <sz val="9"/>
        <color rgb="FF666666"/>
        <rFont val="Noto Sans CJK SC"/>
        <family val="2"/>
      </rPr>
      <t xml:space="preserve">張（景氣階段轉換時抽的政策／黑天鵝／台灣案例事件）。</t>
    </r>
  </si>
  <si>
    <t xml:space="preserve">適用景氣階段</t>
  </si>
  <si>
    <t xml:space="preserve">優先序</t>
  </si>
  <si>
    <t xml:space="preserve">災難</t>
  </si>
  <si>
    <t xml:space="preserve">MARKET</t>
  </si>
  <si>
    <t xml:space="preserve">MK01</t>
  </si>
  <si>
    <t xml:space="preserve">房市買氣回升</t>
  </si>
  <si>
    <t xml:space="preserve">仲介電話開始響了。</t>
  </si>
  <si>
    <t xml:space="preserve">估值上升不等於現金流上升，賣掉才算數。</t>
  </si>
  <si>
    <r>
      <rPr>
        <sz val="10"/>
        <rFont val="Noto Sans CJK SC"/>
        <family val="2"/>
      </rPr>
      <t xml:space="preserve">資產市值</t>
    </r>
    <r>
      <rPr>
        <sz val="10"/>
        <rFont val="Arial"/>
        <family val="0"/>
        <charset val="1"/>
      </rPr>
      <t xml:space="preserve">× ×1.12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（房市回升）</t>
    </r>
  </si>
  <si>
    <t xml:space="preserve">MK02</t>
  </si>
  <si>
    <t xml:space="preserve">房市急凍</t>
  </si>
  <si>
    <t xml:space="preserve">待售物件掛了半年。</t>
  </si>
  <si>
    <t xml:space="preserve">資產價格會跌，但貸款餘額不會跟著跌。</t>
  </si>
  <si>
    <r>
      <rPr>
        <sz val="10"/>
        <rFont val="Noto Sans CJK SC"/>
        <family val="2"/>
      </rPr>
      <t xml:space="preserve">資產市值</t>
    </r>
    <r>
      <rPr>
        <sz val="10"/>
        <rFont val="Arial"/>
        <family val="0"/>
        <charset val="1"/>
      </rPr>
      <t xml:space="preserve">× ×0.9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（房市急凍）</t>
    </r>
  </si>
  <si>
    <t xml:space="preserve">MK03</t>
  </si>
  <si>
    <t xml:space="preserve">出售窗口：房市過熱</t>
  </si>
  <si>
    <t xml:space="preserve">有人開高價要你手上的物件。</t>
  </si>
  <si>
    <t xml:space="preserve">高點出場是紀律，不是運氣。</t>
  </si>
  <si>
    <r>
      <rPr>
        <sz val="10"/>
        <rFont val="Noto Sans CJK SC"/>
        <family val="2"/>
      </rPr>
      <t xml:space="preserve">限時賣價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（房產高價收購）</t>
    </r>
  </si>
  <si>
    <t xml:space="preserve">MK04</t>
  </si>
  <si>
    <t xml:space="preserve">觀光潮帶動小店營收</t>
  </si>
  <si>
    <t xml:space="preserve">排隊排到巷口。</t>
  </si>
  <si>
    <t xml:space="preserve">景氣好的時候，事業利潤先反應。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</si>
  <si>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×1.3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（觀光潮）</t>
    </r>
  </si>
  <si>
    <t xml:space="preserve">MK05</t>
  </si>
  <si>
    <t xml:space="preserve">最低工資調漲</t>
  </si>
  <si>
    <t xml:space="preserve">人事成本全面上升。</t>
  </si>
  <si>
    <t xml:space="preserve">營運成本上升會直接吃掉事業的淨利。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</si>
  <si>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×0.85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（人事成本上升 → 事業淨利下降）</t>
    </r>
  </si>
  <si>
    <t xml:space="preserve">MK06</t>
  </si>
  <si>
    <t xml:space="preserve">租屋需求旺季</t>
  </si>
  <si>
    <t xml:space="preserve">看屋的人排到樓下。</t>
  </si>
  <si>
    <t xml:space="preserve">租金上漲直接進被動收入，比估值上漲實在。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</si>
  <si>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×1.15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（租金旺季）</t>
    </r>
  </si>
  <si>
    <t xml:space="preserve">MK07</t>
  </si>
  <si>
    <t xml:space="preserve">社區大樓公共修繕</t>
  </si>
  <si>
    <t xml:space="preserve">外牆磁磚要全面翻修。</t>
  </si>
  <si>
    <t xml:space="preserve">持有成本是報酬率的隱形殺手。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</si>
  <si>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（修繕分攤）</t>
    </r>
  </si>
  <si>
    <t xml:space="preserve">MK08</t>
  </si>
  <si>
    <t xml:space="preserve">外送平台抽成調高</t>
  </si>
  <si>
    <t xml:space="preserve">平台單方面通知。</t>
  </si>
  <si>
    <t xml:space="preserve">依賴單一通路的生意，議價權不在你手上。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</si>
  <si>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×0.9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輪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（通路抽成調高 → 事業淨利下降）</t>
    </r>
  </si>
  <si>
    <t xml:space="preserve">MK09</t>
  </si>
  <si>
    <t xml:space="preserve">科技股法說會利多</t>
  </si>
  <si>
    <t xml:space="preserve">開盤跳空。</t>
  </si>
  <si>
    <t xml:space="preserve">股價上漲時最危險的念頭是「再等一下」。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</si>
  <si>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×1.35 STK_TECH</t>
    </r>
    <r>
      <rPr>
        <sz val="10"/>
        <rFont val="Noto Sans CJK SC"/>
        <family val="2"/>
      </rPr>
      <t xml:space="preserve">（科技股大漲）</t>
    </r>
  </si>
  <si>
    <t xml:space="preserve">M1</t>
  </si>
  <si>
    <t xml:space="preserve">MK10</t>
  </si>
  <si>
    <t xml:space="preserve">外資大舉調節</t>
  </si>
  <si>
    <t xml:space="preserve">連五天賣超。</t>
  </si>
  <si>
    <t xml:space="preserve">下跌時檢查的是你的成本與現金流，不是新聞。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</si>
  <si>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×0.72 STK_TECH</t>
    </r>
    <r>
      <rPr>
        <sz val="10"/>
        <rFont val="Noto Sans CJK SC"/>
        <family val="2"/>
      </rPr>
      <t xml:space="preserve">（科技股重挫）</t>
    </r>
  </si>
  <si>
    <t xml:space="preserve">MK11</t>
  </si>
  <si>
    <t xml:space="preserve">高股息族群配息加發</t>
  </si>
  <si>
    <t xml:space="preserve">本期配息優於預期。</t>
  </si>
  <si>
    <t xml:space="preserve">配息是現金流，這才是被動收入的來源。</t>
  </si>
  <si>
    <r>
      <rPr>
        <sz val="10"/>
        <rFont val="Noto Sans CJK SC"/>
        <family val="2"/>
      </rPr>
      <t xml:space="preserve">股息加成 </t>
    </r>
    <r>
      <rPr>
        <sz val="10"/>
        <rFont val="Arial"/>
        <family val="0"/>
        <charset val="1"/>
      </rPr>
      <t xml:space="preserve">×2 STK_DIV</t>
    </r>
    <r>
      <rPr>
        <sz val="10"/>
        <rFont val="Noto Sans CJK SC"/>
        <family val="2"/>
      </rPr>
      <t xml:space="preserve">（配息加發）</t>
    </r>
  </si>
  <si>
    <t xml:space="preserve">MK12</t>
  </si>
  <si>
    <t xml:space="preserve">小型股崩跌</t>
  </si>
  <si>
    <t xml:space="preserve">消息面破功。</t>
  </si>
  <si>
    <t xml:space="preserve">高波動的另一面永遠是高風險，兩者不能分開買。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</si>
  <si>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×0.55 STK_SPEC</t>
    </r>
    <r>
      <rPr>
        <sz val="10"/>
        <rFont val="Noto Sans CJK SC"/>
        <family val="2"/>
      </rPr>
      <t xml:space="preserve">（小型股崩跌）</t>
    </r>
  </si>
  <si>
    <t xml:space="preserve">MACRO_EVENT</t>
  </si>
  <si>
    <t xml:space="preserve">MA01</t>
  </si>
  <si>
    <t xml:space="preserve">MACRO</t>
  </si>
  <si>
    <t xml:space="preserve">央行祭出信用管制</t>
  </si>
  <si>
    <t xml:space="preserve">第七波，這次連第二戶都限。</t>
  </si>
  <si>
    <t xml:space="preserve">政策一改，你能借到的錢就變少——槓桿不是永遠都在。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</si>
  <si>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maxLTV=0.5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輪（信用管制）</t>
    </r>
  </si>
  <si>
    <t xml:space="preserve">BOOM</t>
  </si>
  <si>
    <t xml:space="preserve">m4.json</t>
  </si>
  <si>
    <t xml:space="preserve">MA02</t>
  </si>
  <si>
    <t xml:space="preserve">青年購屋利息補貼</t>
  </si>
  <si>
    <t xml:space="preserve">財政部說要幫年輕人一把。</t>
  </si>
  <si>
    <t xml:space="preserve">補貼會降低你的月付息，但它有到期日。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</si>
  <si>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mortgageSpread=0.009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輪（利息補貼）</t>
    </r>
  </si>
  <si>
    <r>
      <rPr>
        <sz val="10"/>
        <rFont val="Arial"/>
        <family val="0"/>
        <charset val="1"/>
      </rPr>
      <t xml:space="preserve">RECOVERY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RECESSION</t>
    </r>
  </si>
  <si>
    <t xml:space="preserve">MA03</t>
  </si>
  <si>
    <t xml:space="preserve">科技業大規模裁員</t>
  </si>
  <si>
    <t xml:space="preserve">公告貼在內部網站上。</t>
  </si>
  <si>
    <t xml:space="preserve">景氣反轉時，主動收入是最脆弱的那一項。</t>
  </si>
  <si>
    <r>
      <rPr>
        <sz val="10"/>
        <rFont val="Noto Sans CJK SC"/>
        <family val="2"/>
      </rPr>
      <t xml:space="preserve">格子效果</t>
    </r>
    <r>
      <rPr>
        <sz val="10"/>
        <rFont val="Arial"/>
        <family val="0"/>
        <charset val="1"/>
      </rPr>
      <t xml:space="preserve">× ×2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</t>
    </r>
    <r>
      <rPr>
        <sz val="10"/>
        <rFont val="Arial"/>
        <family val="0"/>
        <charset val="1"/>
      </rPr>
      <t xml:space="preserve">LAYOFF</t>
    </r>
    <r>
      <rPr>
        <sz val="10"/>
        <rFont val="Noto Sans CJK SC"/>
        <family val="2"/>
      </rPr>
      <t xml:space="preserve">（裁員潮）</t>
    </r>
  </si>
  <si>
    <r>
      <rPr>
        <sz val="10"/>
        <rFont val="Arial"/>
        <family val="0"/>
        <charset val="1"/>
      </rPr>
      <t xml:space="preserve">RECESSION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DEPRESSION</t>
    </r>
  </si>
  <si>
    <t xml:space="preserve">MA04</t>
  </si>
  <si>
    <t xml:space="preserve">出口接單暢旺</t>
  </si>
  <si>
    <t xml:space="preserve">貨櫃排到下個月。</t>
  </si>
  <si>
    <t xml:space="preserve">景氣好的時候，先反應的是事業利潤而不是薪水。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</si>
  <si>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×1.3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（出口暢旺）</t>
    </r>
  </si>
  <si>
    <r>
      <rPr>
        <sz val="10"/>
        <rFont val="Arial"/>
        <family val="0"/>
        <charset val="1"/>
      </rPr>
      <t xml:space="preserve">RECOVERY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BOOM</t>
    </r>
  </si>
  <si>
    <t xml:space="preserve">MA05</t>
  </si>
  <si>
    <t xml:space="preserve">通膨升溫，物價全面上漲</t>
  </si>
  <si>
    <t xml:space="preserve">便當又漲了十塊。</t>
  </si>
  <si>
    <t xml:space="preserve">通膨會同時墊高你的支出與自由門檻。</t>
  </si>
  <si>
    <r>
      <rPr>
        <sz val="10"/>
        <rFont val="Noto Sans CJK SC"/>
        <family val="2"/>
      </rPr>
      <t xml:space="preserve">每月支出（限時） </t>
    </r>
    <r>
      <rPr>
        <sz val="10"/>
        <rFont val="Arial"/>
        <family val="0"/>
        <charset val="1"/>
      </rPr>
      <t xml:space="preserve">+4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全體（物價上漲）</t>
    </r>
  </si>
  <si>
    <t xml:space="preserve">MA06</t>
  </si>
  <si>
    <t xml:space="preserve">租金補貼擴大辦理</t>
  </si>
  <si>
    <t xml:space="preserve">房客申請通過了。</t>
  </si>
  <si>
    <t xml:space="preserve">補貼流向房客，但收租方的空置率會下降。</t>
  </si>
  <si>
    <r>
      <rPr>
        <sz val="10"/>
        <rFont val="Noto Sans CJK SC"/>
        <family val="2"/>
      </rPr>
      <t xml:space="preserve">資產收入</t>
    </r>
    <r>
      <rPr>
        <sz val="10"/>
        <rFont val="Arial"/>
        <family val="0"/>
        <charset val="1"/>
      </rPr>
      <t xml:space="preserve">× ×1.08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（租金補貼）</t>
    </r>
  </si>
  <si>
    <t xml:space="preserve">MA07</t>
  </si>
  <si>
    <t xml:space="preserve">銀行全面緊縮授信</t>
  </si>
  <si>
    <t xml:space="preserve">行員說今年額度用完了。</t>
  </si>
  <si>
    <t xml:space="preserve">流動性收縮時，好機會反而最多——前提是你手上有現金。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</si>
  <si>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maxLTV=0.6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輪（授信緊縮）；改參數 </t>
    </r>
    <r>
      <rPr>
        <sz val="10"/>
        <rFont val="Arial"/>
        <family val="0"/>
        <charset val="1"/>
      </rPr>
      <t xml:space="preserve">cashoutLTV=0.5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輪（增貸緊縮）</t>
    </r>
  </si>
  <si>
    <t xml:space="preserve">MA08</t>
  </si>
  <si>
    <t xml:space="preserve">股市當沖降稅延長</t>
  </si>
  <si>
    <t xml:space="preserve">成交量放大。</t>
  </si>
  <si>
    <t xml:space="preserve">交易成本下降會讓人交易更頻繁，這通常不是好事。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</si>
  <si>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stockVolatilityMult=1.4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輪（量能放大）</t>
    </r>
  </si>
  <si>
    <r>
      <rPr>
        <sz val="10"/>
        <rFont val="Arial"/>
        <family val="0"/>
        <charset val="1"/>
      </rPr>
      <t xml:space="preserve">BOOM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RECOVERY</t>
    </r>
  </si>
  <si>
    <t xml:space="preserve">MA09</t>
  </si>
  <si>
    <t xml:space="preserve">強震來襲，老屋受損</t>
  </si>
  <si>
    <t xml:space="preserve">凌晨的搖晃把所有人搖醒，牆上多了一道裂縫。</t>
  </si>
  <si>
    <t xml:space="preserve">天災不挑景氣。緊急預備金與保險，是唯一能提前做的事。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</si>
  <si>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-35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全體（修繕與停業損失）；資產市值</t>
    </r>
    <r>
      <rPr>
        <sz val="10"/>
        <rFont val="Arial"/>
        <family val="0"/>
        <charset val="1"/>
      </rPr>
      <t xml:space="preserve">× ×0.9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（房屋受損跌價）</t>
    </r>
  </si>
  <si>
    <t xml:space="preserve">MA10</t>
  </si>
  <si>
    <t xml:space="preserve">強颱過境，全台停班停市</t>
  </si>
  <si>
    <t xml:space="preserve">風雨假放了兩天，鐵皮屋頂飛了一片。</t>
  </si>
  <si>
    <t xml:space="preserve">對做生意的人，停業一天就是負現金流一天。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</si>
  <si>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全體（防災與災後清理）；資產收入</t>
    </r>
    <r>
      <rPr>
        <sz val="10"/>
        <rFont val="Arial"/>
        <family val="0"/>
        <charset val="1"/>
      </rPr>
      <t xml:space="preserve">× ×0.75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（停業影響）</t>
    </r>
  </si>
  <si>
    <t xml:space="preserve">MA11</t>
  </si>
  <si>
    <t xml:space="preserve">豪雨土石流，山區聯外中斷</t>
  </si>
  <si>
    <t xml:space="preserve">新聞畫面裡，整條路變成了河。</t>
  </si>
  <si>
    <t xml:space="preserve">供應鏈斷一段，物價就漲一波——災害的帳單常常晚幾個月才到。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</si>
  <si>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全體（物資與交通損失）；每月支出（限時） </t>
    </r>
    <r>
      <rPr>
        <sz val="10"/>
        <rFont val="Arial"/>
        <family val="0"/>
        <charset val="1"/>
      </rPr>
      <t xml:space="preserve">+3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全體（物流成本上升）</t>
    </r>
  </si>
  <si>
    <t xml:space="preserve">MA12</t>
  </si>
  <si>
    <t xml:space="preserve">銀行大舉抽銀根</t>
  </si>
  <si>
    <r>
      <rPr>
        <sz val="10"/>
        <rFont val="Noto Sans CJK SC"/>
        <family val="2"/>
      </rPr>
      <t xml:space="preserve">通知書寫著：</t>
    </r>
    <r>
      <rPr>
        <sz val="10"/>
        <rFont val="Arial"/>
        <family val="0"/>
        <charset val="1"/>
      </rPr>
      <t xml:space="preserve">additional collateral required</t>
    </r>
    <r>
      <rPr>
        <sz val="10"/>
        <rFont val="Noto Sans CJK SC"/>
        <family val="2"/>
      </rPr>
      <t xml:space="preserve">。</t>
    </r>
  </si>
  <si>
    <t xml:space="preserve">銀行雨天收傘是常態。槓桿開滿的人，第一滴雨就出局。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</si>
  <si>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maxLTV=0.4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輪（抽銀根）；改參數 </t>
    </r>
    <r>
      <rPr>
        <sz val="10"/>
        <rFont val="Arial"/>
        <family val="0"/>
        <charset val="1"/>
      </rPr>
      <t xml:space="preserve">cashoutLTV=0.3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輪（增貸凍結）；改參數 </t>
    </r>
    <r>
      <rPr>
        <sz val="10"/>
        <rFont val="Arial"/>
        <family val="0"/>
        <charset val="1"/>
      </rPr>
      <t xml:space="preserve">stockVolatilityMult=1.5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輪（市場動盪）</t>
    </r>
  </si>
  <si>
    <t xml:space="preserve">MA13</t>
  </si>
  <si>
    <t xml:space="preserve">金融風暴，資產全面重挫</t>
  </si>
  <si>
    <t xml:space="preserve">開盤十分鐘，跌幅榜整片同一個顏色。</t>
  </si>
  <si>
    <t xml:space="preserve">系統性風險來的時候，「分散」救不了你，「現金與低槓桿」才行。</t>
  </si>
  <si>
    <r>
      <rPr>
        <sz val="10"/>
        <rFont val="Noto Sans CJK SC"/>
        <family val="2"/>
      </rPr>
      <t xml:space="preserve">資產市值</t>
    </r>
    <r>
      <rPr>
        <sz val="10"/>
        <rFont val="Arial"/>
        <family val="0"/>
        <charset val="1"/>
      </rPr>
      <t xml:space="preserve">× ×0.85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"REALESTATE"}</t>
    </r>
    <r>
      <rPr>
        <sz val="10"/>
        <rFont val="Noto Sans CJK SC"/>
        <family val="2"/>
      </rPr>
      <t xml:space="preserve">（不動產重挫）；資產收入</t>
    </r>
    <r>
      <rPr>
        <sz val="10"/>
        <rFont val="Arial"/>
        <family val="0"/>
        <charset val="1"/>
      </rPr>
      <t xml:space="preserve">× ×0.8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限</t>
    </r>
    <r>
      <rPr>
        <sz val="10"/>
        <rFont val="Arial"/>
        <family val="0"/>
        <charset val="1"/>
      </rPr>
      <t xml:space="preserve">:{"kind": "BUSINESS"}</t>
    </r>
    <r>
      <rPr>
        <sz val="10"/>
        <rFont val="Noto Sans CJK SC"/>
        <family val="2"/>
      </rPr>
      <t xml:space="preserve">（消費急凍）；改參數 </t>
    </r>
    <r>
      <rPr>
        <sz val="10"/>
        <rFont val="Arial"/>
        <family val="0"/>
        <charset val="1"/>
      </rPr>
      <t xml:space="preserve">stockVolatilityMult=1.8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輪（市場恐慌）</t>
    </r>
  </si>
  <si>
    <t xml:space="preserve">DEPRESSION</t>
  </si>
  <si>
    <t xml:space="preserve">MKT_BODA_FRAUD</t>
  </si>
  <si>
    <t xml:space="preserve">科技股王審計假帳風暴</t>
  </si>
  <si>
    <t xml:space="preserve">名牌科技股被爆透過海外子公司虛增營收，引發市場恐慌拋售。</t>
  </si>
  <si>
    <t xml:space="preserve">財經雜誌剛封他為年度典範，隔週公司突然宣布帳上數十億現金全在海外凍結（歷史原型：博達案）。</t>
  </si>
  <si>
    <t xml:space="preserve">營收會騙人、獲利會造假，唯有真正的現金流量表騙不了人。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</si>
  <si>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×0.6 STK_TECH</t>
    </r>
    <r>
      <rPr>
        <sz val="10"/>
        <rFont val="Noto Sans CJK SC"/>
        <family val="2"/>
      </rPr>
      <t xml:space="preserve">（假帳風暴）</t>
    </r>
  </si>
  <si>
    <t xml:space="preserve">MKT_TAIDIAN_DELIST</t>
  </si>
  <si>
    <t xml:space="preserve">老牌權值股黑天鵝掏空</t>
  </si>
  <si>
    <t xml:space="preserve">老牌權值傳產龍頭爆發高達兩百億掏空弊案，股票淪為壁紙停止交易。</t>
  </si>
  <si>
    <t xml:space="preserve">爸媽存了一輩子的傳產龍頭股，一夕之間爆出海外兩百億黑洞（歷史原型：太電案）。</t>
  </si>
  <si>
    <t xml:space="preserve">資產規模大不代表不會倒，公司治理與內部稽核才是資產的防腐劑。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</si>
  <si>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×0.5 STK_DIV</t>
    </r>
    <r>
      <rPr>
        <sz val="10"/>
        <rFont val="Noto Sans CJK SC"/>
        <family val="2"/>
      </rPr>
      <t xml:space="preserve">（掏空弊案）</t>
    </r>
  </si>
  <si>
    <t xml:space="preserve">MACRO_DUAL_CARD_CRISIS</t>
  </si>
  <si>
    <t xml:space="preserve">全台信用緊縮與雙卡風暴</t>
  </si>
  <si>
    <t xml:space="preserve">高利現金卡違約潮引發銀行全面收緊信貸，消費貸利率調升至上限。</t>
  </si>
  <si>
    <r>
      <rPr>
        <sz val="10"/>
        <rFont val="Noto Sans CJK SC"/>
        <family val="2"/>
      </rPr>
      <t xml:space="preserve">借錢是件快樂的事——直到帳單上的循環利率跳到 </t>
    </r>
    <r>
      <rPr>
        <sz val="10"/>
        <rFont val="Arial"/>
        <family val="0"/>
        <charset val="1"/>
      </rPr>
      <t xml:space="preserve">18%</t>
    </r>
    <r>
      <rPr>
        <sz val="10"/>
        <rFont val="Noto Sans CJK SC"/>
        <family val="2"/>
      </rPr>
      <t xml:space="preserve">（歷史原型：雙卡風暴）。</t>
    </r>
  </si>
  <si>
    <t xml:space="preserve">用短期高利消費貸去支撐生活或投資，是通往破產最快的一條路。</t>
  </si>
  <si>
    <r>
      <rPr>
        <sz val="10"/>
        <rFont val="Noto Sans CJK SC"/>
        <family val="2"/>
      </rPr>
      <t xml:space="preserve">改參數 </t>
    </r>
    <r>
      <rPr>
        <sz val="10"/>
        <rFont val="Arial"/>
        <family val="0"/>
        <charset val="1"/>
      </rPr>
      <t xml:space="preserve">creditSpread=0.11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輪（信用緊縮）；改參數 </t>
    </r>
    <r>
      <rPr>
        <sz val="10"/>
        <rFont val="Arial"/>
        <family val="0"/>
        <charset val="1"/>
      </rPr>
      <t xml:space="preserve">marginSpread=0.06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輪（信用緊縮）</t>
    </r>
  </si>
  <si>
    <t xml:space="preserve">MKT_BIOTECH_UNBLIND</t>
  </si>
  <si>
    <t xml:space="preserve">夢幻新藥解盲無量崩盤</t>
  </si>
  <si>
    <t xml:space="preserve">投機生技股臨床解盲未達預期，連續跌停鎖死引發融資斷頭潮。</t>
  </si>
  <si>
    <t xml:space="preserve">群組每天都在傳『解盲一定過』，賭贏翻倍、賭輸無量跌停賣都賣不掉（歷史原型：基亞浩鼎案）。</t>
  </si>
  <si>
    <t xml:space="preserve">全靠單一事件下注的投機不是投資，一旦失敗流動性直接歸零。</t>
  </si>
  <si>
    <r>
      <rPr>
        <sz val="10"/>
        <rFont val="Noto Sans CJK SC"/>
        <family val="2"/>
      </rPr>
      <t xml:space="preserve">股價 </t>
    </r>
    <r>
      <rPr>
        <sz val="10"/>
        <rFont val="Arial"/>
        <family val="0"/>
        <charset val="1"/>
      </rPr>
      <t xml:space="preserve">×0.4 STK_SPEC</t>
    </r>
    <r>
      <rPr>
        <sz val="10"/>
        <rFont val="Noto Sans CJK SC"/>
        <family val="2"/>
      </rPr>
      <t xml:space="preserve">（解盲失敗）</t>
    </r>
  </si>
  <si>
    <t xml:space="preserve">MAS01</t>
  </si>
  <si>
    <r>
      <rPr>
        <sz val="10"/>
        <rFont val="Noto Sans CJK SC"/>
        <family val="2"/>
      </rPr>
      <t xml:space="preserve">生成式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全面進入開發流程</t>
    </r>
  </si>
  <si>
    <t xml:space="preserve">你昨天寫三天的東西，它三分鐘給你一版。</t>
  </si>
  <si>
    <t xml:space="preserve">技能會折舊。真正保值的不是你學過什麼，是你還在不在學。</t>
  </si>
  <si>
    <r>
      <rPr>
        <sz val="10"/>
        <rFont val="Noto Sans CJK SC"/>
        <family val="2"/>
      </rPr>
      <t xml:space="preserve">技能過時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家族</t>
    </r>
    <r>
      <rPr>
        <sz val="10"/>
        <rFont val="Arial"/>
        <family val="0"/>
        <charset val="1"/>
      </rPr>
      <t xml:space="preserve">:TECH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取代基礎開發）</t>
    </r>
  </si>
  <si>
    <t xml:space="preserve">MAS02</t>
  </si>
  <si>
    <t xml:space="preserve">民法與稅法同步大修</t>
  </si>
  <si>
    <t xml:space="preserve">新聞跑馬燈整天在跑，事務所電話接不完。</t>
  </si>
  <si>
    <t xml:space="preserve">你以為記住的規則，其實是那一年的規則。</t>
  </si>
  <si>
    <r>
      <rPr>
        <sz val="10"/>
        <rFont val="Noto Sans CJK SC"/>
        <family val="2"/>
      </rPr>
      <t xml:space="preserve">技能過時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</t>
    </r>
    <r>
      <rPr>
        <sz val="10"/>
        <rFont val="Arial"/>
        <family val="0"/>
        <charset val="1"/>
      </rPr>
      <t xml:space="preserve">SKL_LAW</t>
    </r>
    <r>
      <rPr>
        <sz val="10"/>
        <rFont val="Noto Sans CJK SC"/>
        <family val="2"/>
      </rPr>
      <t xml:space="preserve">（法規大修）</t>
    </r>
  </si>
  <si>
    <r>
      <rPr>
        <sz val="10"/>
        <rFont val="Arial"/>
        <family val="0"/>
        <charset val="1"/>
      </rPr>
      <t xml:space="preserve">BOOM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RECOVERY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RECESSION</t>
    </r>
  </si>
  <si>
    <t xml:space="preserve">MAS03</t>
  </si>
  <si>
    <t xml:space="preserve">技術士證照制度改制，舊證落日</t>
  </si>
  <si>
    <t xml:space="preserve">公告貼在工會門口，三個月內要換照。</t>
  </si>
  <si>
    <t xml:space="preserve">證照不是終身有效的護身符，是需要續期的門票。</t>
  </si>
  <si>
    <r>
      <rPr>
        <sz val="10"/>
        <rFont val="Noto Sans CJK SC"/>
        <family val="2"/>
      </rPr>
      <t xml:space="preserve">技能過時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全體 </t>
    </r>
    <r>
      <rPr>
        <sz val="10"/>
        <rFont val="Arial"/>
        <family val="0"/>
        <charset val="1"/>
      </rPr>
      <t xml:space="preserve">SKL_PLUMB</t>
    </r>
    <r>
      <rPr>
        <sz val="10"/>
        <rFont val="Noto Sans CJK SC"/>
        <family val="2"/>
      </rPr>
      <t xml:space="preserve">（舊證落日）</t>
    </r>
  </si>
  <si>
    <r>
      <rPr>
        <sz val="10"/>
        <rFont val="Arial"/>
        <family val="0"/>
        <charset val="1"/>
      </rPr>
      <t xml:space="preserve">RECOVERY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RECESSION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DEPRESSION</t>
    </r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</si>
  <si>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內容盤點｜品格帳本卡</t>
    </r>
  </si>
  <si>
    <r>
      <rPr>
        <i val="true"/>
        <sz val="9"/>
        <color rgb="FF666666"/>
        <rFont val="Arial"/>
        <family val="0"/>
        <charset val="1"/>
      </rPr>
      <t xml:space="preserve">LIFE_TAPESTRY 326 </t>
    </r>
    <r>
      <rPr>
        <i val="true"/>
        <sz val="9"/>
        <color rgb="FF666666"/>
        <rFont val="Noto Sans CJK SC"/>
        <family val="2"/>
      </rPr>
      <t xml:space="preserve">張（</t>
    </r>
    <r>
      <rPr>
        <i val="true"/>
        <sz val="9"/>
        <color rgb="FF666666"/>
        <rFont val="Arial"/>
        <family val="0"/>
        <charset val="1"/>
      </rPr>
      <t xml:space="preserve">M6 </t>
    </r>
    <r>
      <rPr>
        <i val="true"/>
        <sz val="9"/>
        <color rgb="FF666666"/>
        <rFont val="Noto Sans CJK SC"/>
        <family val="2"/>
      </rPr>
      <t xml:space="preserve">品格帳本）：修養 </t>
    </r>
    <r>
      <rPr>
        <i val="true"/>
        <sz val="9"/>
        <color rgb="FF666666"/>
        <rFont val="Arial"/>
        <family val="0"/>
        <charset val="1"/>
      </rPr>
      <t xml:space="preserve">CULTIVATE</t>
    </r>
    <r>
      <rPr>
        <i val="true"/>
        <sz val="9"/>
        <color rgb="FF666666"/>
        <rFont val="Noto Sans CJK SC"/>
        <family val="2"/>
      </rPr>
      <t xml:space="preserve">／考驗 </t>
    </r>
    <r>
      <rPr>
        <i val="true"/>
        <sz val="9"/>
        <color rgb="FF666666"/>
        <rFont val="Arial"/>
        <family val="0"/>
        <charset val="1"/>
      </rPr>
      <t xml:space="preserve">TRIAL</t>
    </r>
    <r>
      <rPr>
        <i val="true"/>
        <sz val="9"/>
        <color rgb="FF666666"/>
        <rFont val="Noto Sans CJK SC"/>
        <family val="2"/>
      </rPr>
      <t xml:space="preserve">／日常 </t>
    </r>
    <r>
      <rPr>
        <i val="true"/>
        <sz val="9"/>
        <color rgb="FF666666"/>
        <rFont val="Arial"/>
        <family val="0"/>
        <charset val="1"/>
      </rPr>
      <t xml:space="preserve">DAILY </t>
    </r>
    <r>
      <rPr>
        <i val="true"/>
        <sz val="9"/>
        <color rgb="FF666666"/>
        <rFont val="Noto Sans CJK SC"/>
        <family val="2"/>
      </rPr>
      <t xml:space="preserve">等。每局抽樣 </t>
    </r>
    <r>
      <rPr>
        <i val="true"/>
        <sz val="9"/>
        <color rgb="FF666666"/>
        <rFont val="Arial"/>
        <family val="0"/>
        <charset val="1"/>
      </rPr>
      <t xml:space="preserve">13</t>
    </r>
    <r>
      <rPr>
        <i val="true"/>
        <sz val="9"/>
        <color rgb="FF666666"/>
        <rFont val="Noto Sans CJK SC"/>
        <family val="2"/>
      </rPr>
      <t xml:space="preserve">＋</t>
    </r>
    <r>
      <rPr>
        <i val="true"/>
        <sz val="9"/>
        <color rgb="FF666666"/>
        <rFont val="Arial"/>
        <family val="0"/>
        <charset val="1"/>
      </rPr>
      <t xml:space="preserve">13</t>
    </r>
    <r>
      <rPr>
        <i val="true"/>
        <sz val="9"/>
        <color rgb="FF666666"/>
        <rFont val="Noto Sans CJK SC"/>
        <family val="2"/>
      </rPr>
      <t xml:space="preserve">＋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Noto Sans CJK SC"/>
        <family val="2"/>
      </rPr>
      <t xml:space="preserve">。金額單位＝千元。</t>
    </r>
  </si>
  <si>
    <t xml:space="preserve">品格軸</t>
  </si>
  <si>
    <t xml:space="preserve">品格分歧（依等級）</t>
  </si>
  <si>
    <t xml:space="preserve">LT_C001</t>
  </si>
  <si>
    <t xml:space="preserve">CULTIVATE</t>
  </si>
  <si>
    <t xml:space="preserve">育樂</t>
  </si>
  <si>
    <t xml:space="preserve">情緒</t>
  </si>
  <si>
    <t xml:space="preserve">情緒管理工作坊</t>
  </si>
  <si>
    <t xml:space="preserve">六堂課，教你在爆炸前先數三秒。</t>
  </si>
  <si>
    <t xml:space="preserve">脾氣是可以練的技術，練它的錢比賠償金便宜太多。</t>
  </si>
  <si>
    <r>
      <rPr>
        <sz val="10"/>
        <rFont val="Noto Sans CJK SC"/>
        <family val="2"/>
      </rPr>
      <t xml:space="preserve">品格 情緒</t>
    </r>
    <r>
      <rPr>
        <sz val="10"/>
        <rFont val="Arial"/>
        <family val="0"/>
        <charset val="1"/>
      </rPr>
      <t xml:space="preserve">+1</t>
    </r>
  </si>
  <si>
    <t xml:space="preserve">m6.json</t>
  </si>
  <si>
    <t xml:space="preserve">LT_C002</t>
  </si>
  <si>
    <t xml:space="preserve">每週晨跑習慣</t>
  </si>
  <si>
    <t xml:space="preserve">跑完那三十分鐘，很多事就沒那麼想吵。</t>
  </si>
  <si>
    <t xml:space="preserve">運動是最便宜的情緒投資。</t>
  </si>
  <si>
    <t xml:space="preserve">LT_C003</t>
  </si>
  <si>
    <t xml:space="preserve">衣</t>
  </si>
  <si>
    <t xml:space="preserve">斷捨離整理課</t>
  </si>
  <si>
    <t xml:space="preserve">把衣櫃清空那天，也清掉了一些焦慮。</t>
  </si>
  <si>
    <t xml:space="preserve">衝動購物常是情緒問題，不是預算問題。</t>
  </si>
  <si>
    <t xml:space="preserve">LT_C004</t>
  </si>
  <si>
    <r>
      <rPr>
        <sz val="10"/>
        <rFont val="Noto Sans CJK SC"/>
        <family val="2"/>
      </rPr>
      <t xml:space="preserve">正念冥想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年費</t>
    </r>
  </si>
  <si>
    <t xml:space="preserve">每天十分鐘，學著看著念頭經過。</t>
  </si>
  <si>
    <t xml:space="preserve">覺察情緒，是不被情緒綁架的第一步。</t>
  </si>
  <si>
    <t xml:space="preserve">LT_C005</t>
  </si>
  <si>
    <t xml:space="preserve">食</t>
  </si>
  <si>
    <t xml:space="preserve">戒酒三個月挑戰</t>
  </si>
  <si>
    <t xml:space="preserve">聚會改點無酒精，隔天的自己會謝謝你。</t>
  </si>
  <si>
    <t xml:space="preserve">許多失控都始於一杯下肚。</t>
  </si>
  <si>
    <t xml:space="preserve">LT_C006</t>
  </si>
  <si>
    <t xml:space="preserve">心理諮商月會</t>
  </si>
  <si>
    <t xml:space="preserve">每月一次，把積著的話說出來。</t>
  </si>
  <si>
    <t xml:space="preserve">定期清理情緒，比爆掉再收拾划算。</t>
  </si>
  <si>
    <t xml:space="preserve">LT_C007</t>
  </si>
  <si>
    <t xml:space="preserve">住</t>
  </si>
  <si>
    <t xml:space="preserve">打造一個獨處角落</t>
  </si>
  <si>
    <t xml:space="preserve">一張椅子、一盞燈，煩了就退到這裡。</t>
  </si>
  <si>
    <t xml:space="preserve">給情緒一個緩衝空間，衝突就少一半。</t>
  </si>
  <si>
    <t xml:space="preserve">LT_C008</t>
  </si>
  <si>
    <t xml:space="preserve">行</t>
  </si>
  <si>
    <t xml:space="preserve">通勤改走風景路線</t>
  </si>
  <si>
    <t xml:space="preserve">慢個十分鐘，心情好一整天。</t>
  </si>
  <si>
    <t xml:space="preserve">把趕路的焦躁，換成可以呼吸的節奏。</t>
  </si>
  <si>
    <t xml:space="preserve">LT_C009</t>
  </si>
  <si>
    <t xml:space="preserve">報名合唱團</t>
  </si>
  <si>
    <t xml:space="preserve">一起唱歌的人，比較不容易對彼此吼。</t>
  </si>
  <si>
    <t xml:space="preserve">把情緒放進不傷人的出口。</t>
  </si>
  <si>
    <t xml:space="preserve">LT_C010</t>
  </si>
  <si>
    <t xml:space="preserve">寫情緒日記</t>
  </si>
  <si>
    <t xml:space="preserve">睡前三行，寫下今天最想罵人的一刻。</t>
  </si>
  <si>
    <t xml:space="preserve">寫下來，就多了一次不衝動的機會。</t>
  </si>
  <si>
    <t xml:space="preserve">LT_C011</t>
  </si>
  <si>
    <t xml:space="preserve">學會好好吃一頓飯</t>
  </si>
  <si>
    <t xml:space="preserve">不配手機，專心把一餐吃完。</t>
  </si>
  <si>
    <t xml:space="preserve">慢下來的胃，帶著慢下來的脾氣。</t>
  </si>
  <si>
    <t xml:space="preserve">LT_C012</t>
  </si>
  <si>
    <t xml:space="preserve">隔音窗簾與降噪</t>
  </si>
  <si>
    <t xml:space="preserve">把外面的吵，擋在窗戶外面。</t>
  </si>
  <si>
    <t xml:space="preserve">減少刺激源，情緒自然穩。</t>
  </si>
  <si>
    <t xml:space="preserve">LT_C013</t>
  </si>
  <si>
    <t xml:space="preserve">學一項需要專注的手作</t>
  </si>
  <si>
    <t xml:space="preserve">捏陶或木工，手忙了，腦就靜了。</t>
  </si>
  <si>
    <t xml:space="preserve">專注是情緒最好的鎮定劑。</t>
  </si>
  <si>
    <t xml:space="preserve">LT_C014</t>
  </si>
  <si>
    <t xml:space="preserve">改騎自行車代步</t>
  </si>
  <si>
    <t xml:space="preserve">踩踏之間，把一天的悶氣蹬出去。</t>
  </si>
  <si>
    <t xml:space="preserve">規律運動長期壓低情緒的基準線。</t>
  </si>
  <si>
    <t xml:space="preserve">LT_C015</t>
  </si>
  <si>
    <t xml:space="preserve">夫妻溝通共學</t>
  </si>
  <si>
    <t xml:space="preserve">一起上課，學怎麼吵得不傷人。</t>
  </si>
  <si>
    <t xml:space="preserve">會吵架的伴侶，未必比不會和好的更糟。</t>
  </si>
  <si>
    <t xml:space="preserve">LT_C016</t>
  </si>
  <si>
    <t xml:space="preserve">守法謹慎</t>
  </si>
  <si>
    <t xml:space="preserve">防禦駕駛課程</t>
  </si>
  <si>
    <t xml:space="preserve">教練說：路上最貴的是那零點五秒。</t>
  </si>
  <si>
    <t xml:space="preserve">用小錢買掉大額尾部風險。</t>
  </si>
  <si>
    <r>
      <rPr>
        <sz val="10"/>
        <rFont val="Noto Sans CJK SC"/>
        <family val="2"/>
      </rPr>
      <t xml:space="preserve">品格 守法謹慎</t>
    </r>
    <r>
      <rPr>
        <sz val="10"/>
        <rFont val="Arial"/>
        <family val="0"/>
        <charset val="1"/>
      </rPr>
      <t xml:space="preserve">+1</t>
    </r>
  </si>
  <si>
    <t xml:space="preserve">LT_C017</t>
  </si>
  <si>
    <t xml:space="preserve">居家安檢與火險規劃</t>
  </si>
  <si>
    <t xml:space="preserve">師傅說這條線再兩年會出事。</t>
  </si>
  <si>
    <t xml:space="preserve">保險把不確定的大損失換成確定的小成本。</t>
  </si>
  <si>
    <t xml:space="preserve">LT_C018</t>
  </si>
  <si>
    <t xml:space="preserve">年度健檢加做項目</t>
  </si>
  <si>
    <t xml:space="preserve">多花的那幾項，醫生說值得。</t>
  </si>
  <si>
    <t xml:space="preserve">早期發現的成本，永遠低於晚期治療。</t>
  </si>
  <si>
    <t xml:space="preserve">LT_C019</t>
  </si>
  <si>
    <t xml:space="preserve">車險保障升級</t>
  </si>
  <si>
    <t xml:space="preserve">加做第三人責任險與零件險。</t>
  </si>
  <si>
    <t xml:space="preserve">保費看的是保障範圍，不是誰最便宜。</t>
  </si>
  <si>
    <t xml:space="preserve">LT_C020</t>
  </si>
  <si>
    <t xml:space="preserve">地震險與颱風防護</t>
  </si>
  <si>
    <t xml:space="preserve">住在這座島，這筆不能省。</t>
  </si>
  <si>
    <t xml:space="preserve">天災不會挑你有沒有準備。</t>
  </si>
  <si>
    <t xml:space="preserve">LT_C021</t>
  </si>
  <si>
    <t xml:space="preserve">食材來源與保存教學</t>
  </si>
  <si>
    <t xml:space="preserve">學會看標示、學會冷藏鏈。</t>
  </si>
  <si>
    <t xml:space="preserve">省下的是全家人的腸胃與醫藥費。</t>
  </si>
  <si>
    <t xml:space="preserve">LT_C022</t>
  </si>
  <si>
    <t xml:space="preserve">投資詐騙辨識課</t>
  </si>
  <si>
    <t xml:space="preserve">高報酬零風險，聽到就該轉身。</t>
  </si>
  <si>
    <t xml:space="preserve">看得懂騙局，是最高報酬的一堂課。</t>
  </si>
  <si>
    <t xml:space="preserve">LT_C023</t>
  </si>
  <si>
    <t xml:space="preserve">合約與租約審閱習慣</t>
  </si>
  <si>
    <t xml:space="preserve">簽名前，逐條看過一遍。</t>
  </si>
  <si>
    <t xml:space="preserve">一時的仔細，省下漫長的糾紛。</t>
  </si>
  <si>
    <t xml:space="preserve">LT_C024</t>
  </si>
  <si>
    <t xml:space="preserve">定期車輛保養紀錄</t>
  </si>
  <si>
    <t xml:space="preserve">小病不拖成大修。</t>
  </si>
  <si>
    <t xml:space="preserve">預防性維護的帳單，永遠比故障便宜。</t>
  </si>
  <si>
    <t xml:space="preserve">LT_C025</t>
  </si>
  <si>
    <t xml:space="preserve">建立緊急預備金</t>
  </si>
  <si>
    <t xml:space="preserve">先存下六個月的生活費再說別的。</t>
  </si>
  <si>
    <t xml:space="preserve">現金是意外來臨時唯一不會背叛你的資產。</t>
  </si>
  <si>
    <t xml:space="preserve">LT_C026</t>
  </si>
  <si>
    <t xml:space="preserve">戒掉來路不明的保健品</t>
  </si>
  <si>
    <t xml:space="preserve">貴又沒用，還可能傷身。</t>
  </si>
  <si>
    <t xml:space="preserve">把錢花在證據上，不是花在恐懼上。</t>
  </si>
  <si>
    <t xml:space="preserve">LT_C027</t>
  </si>
  <si>
    <t xml:space="preserve">個資與資安基本功</t>
  </si>
  <si>
    <t xml:space="preserve">兩步驗證、不亂點連結。</t>
  </si>
  <si>
    <t xml:space="preserve">一次外洩，可能賠掉多年積蓄。</t>
  </si>
  <si>
    <t xml:space="preserve">LT_C028</t>
  </si>
  <si>
    <t xml:space="preserve">立好遺囑與保單受益人</t>
  </si>
  <si>
    <t xml:space="preserve">把該交代的先交代清楚。</t>
  </si>
  <si>
    <t xml:space="preserve">負責任的規劃，是留給家人的溫柔。</t>
  </si>
  <si>
    <t xml:space="preserve">LT_C029</t>
  </si>
  <si>
    <t xml:space="preserve">加裝行車記錄器</t>
  </si>
  <si>
    <t xml:space="preserve">路上的事，讓證據說話。</t>
  </si>
  <si>
    <t xml:space="preserve">一次事故，就回本了。</t>
  </si>
  <si>
    <t xml:space="preserve">LT_C030</t>
  </si>
  <si>
    <t xml:space="preserve">控制信用卡張數</t>
  </si>
  <si>
    <t xml:space="preserve">留兩張夠用，其餘剪掉。</t>
  </si>
  <si>
    <t xml:space="preserve">少一個循環利息的坑，就多一分餘裕。</t>
  </si>
  <si>
    <t xml:space="preserve">LT_C031</t>
  </si>
  <si>
    <t xml:space="preserve">教養</t>
  </si>
  <si>
    <t xml:space="preserve">親子露營三天</t>
  </si>
  <si>
    <t xml:space="preserve">沒訊號的兩晚，他跟你講了很多話。</t>
  </si>
  <si>
    <t xml:space="preserve">陪伴是教養裡最無法外包的一項。</t>
  </si>
  <si>
    <r>
      <rPr>
        <sz val="10"/>
        <rFont val="Noto Sans CJK SC"/>
        <family val="2"/>
      </rPr>
      <t xml:space="preserve">品格 教養</t>
    </r>
    <r>
      <rPr>
        <sz val="10"/>
        <rFont val="Arial"/>
        <family val="0"/>
        <charset val="1"/>
      </rPr>
      <t xml:space="preserve">+1</t>
    </r>
  </si>
  <si>
    <t xml:space="preserve">LT_C032</t>
  </si>
  <si>
    <t xml:space="preserve">陪練才藝半年</t>
  </si>
  <si>
    <t xml:space="preserve">每週兩次接送，你在教室外看完三本書。</t>
  </si>
  <si>
    <t xml:space="preserve">教養的投入常是時間，不只是學費。</t>
  </si>
  <si>
    <t xml:space="preserve">LT_C033</t>
  </si>
  <si>
    <t xml:space="preserve">親職溝通講座</t>
  </si>
  <si>
    <t xml:space="preserve">講師說：先聽完，再回話。</t>
  </si>
  <si>
    <t xml:space="preserve">教養方法可以學，學了的人少走冤枉路。</t>
  </si>
  <si>
    <t xml:space="preserve">LT_C034</t>
  </si>
  <si>
    <t xml:space="preserve">一起下廚的週末</t>
  </si>
  <si>
    <t xml:space="preserve">切菜洗米之間，聊了學校的事。</t>
  </si>
  <si>
    <t xml:space="preserve">共做一件事，比一百句叮嚀更靠近。</t>
  </si>
  <si>
    <t xml:space="preserve">LT_C035</t>
  </si>
  <si>
    <t xml:space="preserve">給孩子的第一個帳戶</t>
  </si>
  <si>
    <t xml:space="preserve">教他把零用錢分成花、存、給。</t>
  </si>
  <si>
    <t xml:space="preserve">金錢觀是教出來的，不是等帳單來教的。</t>
  </si>
  <si>
    <t xml:space="preserve">LT_C036</t>
  </si>
  <si>
    <t xml:space="preserve">佈置孩子的讀書角</t>
  </si>
  <si>
    <t xml:space="preserve">一張好桌燈，一個屬於他的位置。</t>
  </si>
  <si>
    <t xml:space="preserve">環境會偷偷替你完成一半的教養。</t>
  </si>
  <si>
    <t xml:space="preserve">LT_C037</t>
  </si>
  <si>
    <t xml:space="preserve">一起完成一趟長途旅行</t>
  </si>
  <si>
    <t xml:space="preserve">計畫、迷路、再一起找到路。</t>
  </si>
  <si>
    <t xml:space="preserve">一起解決問題，是最好的身教。</t>
  </si>
  <si>
    <t xml:space="preserve">LT_C038</t>
  </si>
  <si>
    <t xml:space="preserve">陪讀睡前故事習慣</t>
  </si>
  <si>
    <t xml:space="preserve">每晚十五分鐘，雷打不動。</t>
  </si>
  <si>
    <t xml:space="preserve">穩定的陪伴，長成孩子的安全感。</t>
  </si>
  <si>
    <t xml:space="preserve">LT_C039</t>
  </si>
  <si>
    <t xml:space="preserve">支持孩子的興趣試錯</t>
  </si>
  <si>
    <t xml:space="preserve">讓他學、也讓他放棄，再學別的。</t>
  </si>
  <si>
    <t xml:space="preserve">允許試錯，才養得出會選擇的人。</t>
  </si>
  <si>
    <t xml:space="preserve">LT_C040</t>
  </si>
  <si>
    <t xml:space="preserve">家庭固定共餐時間</t>
  </si>
  <si>
    <t xml:space="preserve">再忙，一週也要一起吃幾頓。</t>
  </si>
  <si>
    <t xml:space="preserve">餐桌是家庭最日常的教室。</t>
  </si>
  <si>
    <t xml:space="preserve">LT_C041</t>
  </si>
  <si>
    <t xml:space="preserve">陪孩子當志工一天</t>
  </si>
  <si>
    <t xml:space="preserve">去一次才知道自己有多幸運。</t>
  </si>
  <si>
    <t xml:space="preserve">同理心不是講的，是帶著去看見的。</t>
  </si>
  <si>
    <t xml:space="preserve">LT_C042</t>
  </si>
  <si>
    <t xml:space="preserve">和青春期孩子的定期約會</t>
  </si>
  <si>
    <t xml:space="preserve">一杯飲料的時間，只聽不評。</t>
  </si>
  <si>
    <t xml:space="preserve">青春期需要的是陪伴，不是保證金。</t>
  </si>
  <si>
    <t xml:space="preserve">LT_C043</t>
  </si>
  <si>
    <t xml:space="preserve">孝親</t>
  </si>
  <si>
    <t xml:space="preserve">父母生日紅包</t>
  </si>
  <si>
    <t xml:space="preserve">媽媽嘴上說不用，紅包收得很快。</t>
  </si>
  <si>
    <t xml:space="preserve">孝順的錢不求回報，但會回到你的生活裡。</t>
  </si>
  <si>
    <r>
      <rPr>
        <sz val="10"/>
        <rFont val="Noto Sans CJK SC"/>
        <family val="2"/>
      </rPr>
      <t xml:space="preserve">品格 孝親</t>
    </r>
    <r>
      <rPr>
        <sz val="10"/>
        <rFont val="Arial"/>
        <family val="0"/>
        <charset val="1"/>
      </rPr>
      <t xml:space="preserve">+1</t>
    </r>
  </si>
  <si>
    <t xml:space="preserve">LT_C044</t>
  </si>
  <si>
    <t xml:space="preserve">帶父母出國一趟</t>
  </si>
  <si>
    <t xml:space="preserve">他們一路拍照，回來洗了三本相簿。</t>
  </si>
  <si>
    <t xml:space="preserve">這筆錢沒有報酬率，但有到期日。</t>
  </si>
  <si>
    <t xml:space="preserve">LT_C045</t>
  </si>
  <si>
    <t xml:space="preserve">每月固定孝親金</t>
  </si>
  <si>
    <t xml:space="preserve">轉帳設成自動的，就不會忘。</t>
  </si>
  <si>
    <t xml:space="preserve">固定的小額，比偶爾的大額更能支撐一個家。</t>
  </si>
  <si>
    <t xml:space="preserve">LT_C046</t>
  </si>
  <si>
    <t xml:space="preserve">老家浴室做防滑</t>
  </si>
  <si>
    <t xml:space="preserve">這個年紀跌一次很麻煩。</t>
  </si>
  <si>
    <t xml:space="preserve">預防性的支出，往往是最划算的孝順。</t>
  </si>
  <si>
    <t xml:space="preserve">LT_C047</t>
  </si>
  <si>
    <t xml:space="preserve">陪回診半天</t>
  </si>
  <si>
    <t xml:space="preserve">你只是坐在旁邊，他一路講你小時候。</t>
  </si>
  <si>
    <t xml:space="preserve">孝順很多時候只是到場。</t>
  </si>
  <si>
    <t xml:space="preserve">LT_C048</t>
  </si>
  <si>
    <t xml:space="preserve">替父母加保醫療險</t>
  </si>
  <si>
    <t xml:space="preserve">趁還能保的時候先保起來。</t>
  </si>
  <si>
    <t xml:space="preserve">晚一年，可能就保不進去了。</t>
  </si>
  <si>
    <t xml:space="preserve">LT_C049</t>
  </si>
  <si>
    <t xml:space="preserve">教爸媽用智慧手機</t>
  </si>
  <si>
    <t xml:space="preserve">從視訊開始，世界就近了。</t>
  </si>
  <si>
    <t xml:space="preserve">陪伴不只給錢，也給他們跟上時代的能力。</t>
  </si>
  <si>
    <t xml:space="preserve">LT_C050</t>
  </si>
  <si>
    <t xml:space="preserve">家族年度聚餐基金</t>
  </si>
  <si>
    <t xml:space="preserve">訂個好餐廳，讓長輩當主角。</t>
  </si>
  <si>
    <t xml:space="preserve">把家人聚在一起，本身就有價值。</t>
  </si>
  <si>
    <t xml:space="preserve">LT_C051</t>
  </si>
  <si>
    <t xml:space="preserve">替老家換新家電</t>
  </si>
  <si>
    <t xml:space="preserve">那台冰箱比你年紀還大了。</t>
  </si>
  <si>
    <t xml:space="preserve">孝順也可以很實際。</t>
  </si>
  <si>
    <t xml:space="preserve">LT_C052</t>
  </si>
  <si>
    <t xml:space="preserve">固定回家陪吃飯</t>
  </si>
  <si>
    <t xml:space="preserve">每週一次，讓廚房又熱鬧起來。</t>
  </si>
  <si>
    <t xml:space="preserve">時間是父母最想要、也最買不到的禮物。</t>
  </si>
  <si>
    <t xml:space="preserve">LT_C053</t>
  </si>
  <si>
    <t xml:space="preserve">替父母規劃退休現金流</t>
  </si>
  <si>
    <t xml:space="preserve">陪他們把保單與存款盤一次。</t>
  </si>
  <si>
    <t xml:space="preserve">孝順的最高段，是讓他們不必依賴誰。</t>
  </si>
  <si>
    <t xml:space="preserve">LT_C054</t>
  </si>
  <si>
    <t xml:space="preserve">照顧者喘息服務</t>
  </si>
  <si>
    <t xml:space="preserve">請人幫忙半天，讓自己也能喘口氣。</t>
  </si>
  <si>
    <t xml:space="preserve">照顧者先顧好自己，才顧得久。</t>
  </si>
  <si>
    <t xml:space="preserve">LT_C055</t>
  </si>
  <si>
    <t xml:space="preserve">數位排毒週末</t>
  </si>
  <si>
    <t xml:space="preserve">關掉通知那兩天，心跳都慢了下來。</t>
  </si>
  <si>
    <t xml:space="preserve">資訊過載是這時代的隱形壓力源。</t>
  </si>
  <si>
    <t xml:space="preserve">LT_C056</t>
  </si>
  <si>
    <t xml:space="preserve">替家裡添點綠意</t>
  </si>
  <si>
    <t xml:space="preserve">照顧植物的人，比較有耐心。</t>
  </si>
  <si>
    <t xml:space="preserve">把注意力放在會生長的東西上，情緒也長得好。</t>
  </si>
  <si>
    <t xml:space="preserve">LT_C057</t>
  </si>
  <si>
    <t xml:space="preserve">學會拒絕的練習課</t>
  </si>
  <si>
    <t xml:space="preserve">把「不」說出口，比想像中輕鬆。</t>
  </si>
  <si>
    <t xml:space="preserve">守住界線，是情緒穩定的地基。</t>
  </si>
  <si>
    <t xml:space="preserve">LT_C058</t>
  </si>
  <si>
    <t xml:space="preserve">開車時聽有聲書</t>
  </si>
  <si>
    <t xml:space="preserve">塞車也能變成充電的時間。</t>
  </si>
  <si>
    <t xml:space="preserve">把等待重新定義，怒氣就少了出口。</t>
  </si>
  <si>
    <t xml:space="preserve">LT_C059</t>
  </si>
  <si>
    <t xml:space="preserve">週末不喝含糖飲料</t>
  </si>
  <si>
    <t xml:space="preserve">血糖穩，脾氣也穩。</t>
  </si>
  <si>
    <t xml:space="preserve">身體的平衡，撐著情緒的平衡。</t>
  </si>
  <si>
    <t xml:space="preserve">LT_C060</t>
  </si>
  <si>
    <t xml:space="preserve">固定的睡眠儀式</t>
  </si>
  <si>
    <t xml:space="preserve">睡飽的人，世界都比較友善。</t>
  </si>
  <si>
    <t xml:space="preserve">睡眠債會用壞脾氣來討。</t>
  </si>
  <si>
    <t xml:space="preserve">LT_C061</t>
  </si>
  <si>
    <t xml:space="preserve">把爭吵留在客廳外</t>
  </si>
  <si>
    <t xml:space="preserve">臥室只留給休息與和好。</t>
  </si>
  <si>
    <t xml:space="preserve">為情緒設好場所的界線。</t>
  </si>
  <si>
    <t xml:space="preserve">LT_C062</t>
  </si>
  <si>
    <t xml:space="preserve">建立食物過敏紀錄</t>
  </si>
  <si>
    <t xml:space="preserve">家人吃了什麼、有無反應，都寫下來。</t>
  </si>
  <si>
    <t xml:space="preserve">紀錄讓風險看得見、可預防。</t>
  </si>
  <si>
    <t xml:space="preserve">LT_C063</t>
  </si>
  <si>
    <t xml:space="preserve">定期檢查保單內容</t>
  </si>
  <si>
    <t xml:space="preserve">保障夠不夠、有沒有重複，一年看一次。</t>
  </si>
  <si>
    <t xml:space="preserve">買了不看的保單，等於沒買。</t>
  </si>
  <si>
    <t xml:space="preserve">LT_C064</t>
  </si>
  <si>
    <t xml:space="preserve">出遠門前的車況檢查</t>
  </si>
  <si>
    <t xml:space="preserve">胎壓、機油、雨刷，五分鐘的事。</t>
  </si>
  <si>
    <t xml:space="preserve">預防的五分鐘，勝過路邊的五小時。</t>
  </si>
  <si>
    <t xml:space="preserve">LT_C065</t>
  </si>
  <si>
    <t xml:space="preserve">分散帳戶與提款上限</t>
  </si>
  <si>
    <t xml:space="preserve">把雞蛋放不同籃子，也設好破口。</t>
  </si>
  <si>
    <t xml:space="preserve">控管損失上限，是資安的基本功。</t>
  </si>
  <si>
    <t xml:space="preserve">LT_C066</t>
  </si>
  <si>
    <t xml:space="preserve">社區逃生路線演練</t>
  </si>
  <si>
    <t xml:space="preserve">真的走一次，才知道哪裡卡。</t>
  </si>
  <si>
    <t xml:space="preserve">演練過的安全，才是真的安全。</t>
  </si>
  <si>
    <t xml:space="preserve">LT_C067</t>
  </si>
  <si>
    <t xml:space="preserve">建立家庭急救箱</t>
  </si>
  <si>
    <t xml:space="preserve">過期的藥先換掉，缺的補齊。</t>
  </si>
  <si>
    <t xml:space="preserve">關鍵時刻，準備決定結果。</t>
  </si>
  <si>
    <t xml:space="preserve">LT_C068</t>
  </si>
  <si>
    <t xml:space="preserve">保留重要文件備份</t>
  </si>
  <si>
    <t xml:space="preserve">證件、保單、契約掃描存雲端。</t>
  </si>
  <si>
    <t xml:space="preserve">一場水災或火災，考驗你的備份。</t>
  </si>
  <si>
    <t xml:space="preserve">LT_C069</t>
  </si>
  <si>
    <t xml:space="preserve">陪孩子做一次預算</t>
  </si>
  <si>
    <t xml:space="preserve">一起把零用錢分成花存給。</t>
  </si>
  <si>
    <t xml:space="preserve">財商是陪出來的，不是講出來的。</t>
  </si>
  <si>
    <t xml:space="preserve">LT_C070</t>
  </si>
  <si>
    <t xml:space="preserve">教孩子下一道拿手菜</t>
  </si>
  <si>
    <t xml:space="preserve">會照顧自己的孩子，走到哪都安心。</t>
  </si>
  <si>
    <t xml:space="preserve">生活能力，是最實用的教養。</t>
  </si>
  <si>
    <t xml:space="preserve">LT_C071</t>
  </si>
  <si>
    <t xml:space="preserve">一起整理房間的習慣</t>
  </si>
  <si>
    <t xml:space="preserve">收拾自己的空間，也收拾責任感。</t>
  </si>
  <si>
    <t xml:space="preserve">秩序感，是從自己的抽屜開始的。</t>
  </si>
  <si>
    <t xml:space="preserve">LT_C072</t>
  </si>
  <si>
    <t xml:space="preserve">陪孩子面對一次失敗</t>
  </si>
  <si>
    <t xml:space="preserve">名次不好那天，你只是陪著。</t>
  </si>
  <si>
    <t xml:space="preserve">接住失敗的孩子，才敢再嘗試。</t>
  </si>
  <si>
    <t xml:space="preserve">LT_C073</t>
  </si>
  <si>
    <t xml:space="preserve">一起規劃家庭出遊</t>
  </si>
  <si>
    <t xml:space="preserve">讓孩子查資料、抓預算、排行程。</t>
  </si>
  <si>
    <t xml:space="preserve">把決定權交出去，能力就長出來。</t>
  </si>
  <si>
    <t xml:space="preserve">LT_C074</t>
  </si>
  <si>
    <t xml:space="preserve">固定的家庭會議</t>
  </si>
  <si>
    <t xml:space="preserve">每週半小時，孩子也有發言權。</t>
  </si>
  <si>
    <t xml:space="preserve">被聽見的孩子，比較願意溝通。</t>
  </si>
  <si>
    <t xml:space="preserve">LT_C075</t>
  </si>
  <si>
    <t xml:space="preserve">陪父母回老家走走</t>
  </si>
  <si>
    <t xml:space="preserve">車上那兩小時，聽了很多故事。</t>
  </si>
  <si>
    <t xml:space="preserve">有些話，只在路上才說得出口。</t>
  </si>
  <si>
    <t xml:space="preserve">LT_C076</t>
  </si>
  <si>
    <t xml:space="preserve">替父母整理數位帳號</t>
  </si>
  <si>
    <r>
      <rPr>
        <sz val="10"/>
        <rFont val="Noto Sans CJK SC"/>
        <family val="2"/>
      </rPr>
      <t xml:space="preserve">密碼、常用 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、緊急聯絡，一次盤清。</t>
    </r>
  </si>
  <si>
    <t xml:space="preserve">數位時代的孝順，是幫他們不被卡住。</t>
  </si>
  <si>
    <t xml:space="preserve">LT_C077</t>
  </si>
  <si>
    <t xml:space="preserve">記錄父母的病史與用藥</t>
  </si>
  <si>
    <t xml:space="preserve">看診時拿得出來，醫生更好判斷。</t>
  </si>
  <si>
    <t xml:space="preserve">一份清單，可能省下一場誤診。</t>
  </si>
  <si>
    <t xml:space="preserve">LT_C078</t>
  </si>
  <si>
    <t xml:space="preserve">固定的家庭視訊夜</t>
  </si>
  <si>
    <t xml:space="preserve">隔著螢幕，也把日子接在一起。</t>
  </si>
  <si>
    <t xml:space="preserve">距離不是問題，不聯絡才是。</t>
  </si>
  <si>
    <t xml:space="preserve">LT_C079</t>
  </si>
  <si>
    <t xml:space="preserve">替長輩安排定期健檢</t>
  </si>
  <si>
    <t xml:space="preserve">預約掛號、陪同、追蹤報告。</t>
  </si>
  <si>
    <t xml:space="preserve">早一步發現，就多一分從容。</t>
  </si>
  <si>
    <t xml:space="preserve">LT_C080</t>
  </si>
  <si>
    <t xml:space="preserve">學做父母愛吃的家常菜</t>
  </si>
  <si>
    <t xml:space="preserve">那個味道，是家的座標。</t>
  </si>
  <si>
    <t xml:space="preserve">把記憶裡的味道傳下去。</t>
  </si>
  <si>
    <t xml:space="preserve">LT_T001</t>
  </si>
  <si>
    <t xml:space="preserve">高速公路上的別車</t>
  </si>
  <si>
    <t xml:space="preserve">對方切進來只差半個車身。</t>
  </si>
  <si>
    <t xml:space="preserve">路怒的代價不只罰款，還有被扣住的那段人生。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</si>
  <si>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：你深呼吸放慢車速讓他先過，到家早忘了這事。｜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：你逼車回敬被檢舉，吊扣駕照三個月全靠計程車。｜現金 </t>
    </r>
    <r>
      <rPr>
        <sz val="10"/>
        <rFont val="Arial"/>
        <family val="0"/>
        <charset val="1"/>
      </rPr>
      <t xml:space="preserve">-120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自己（罰鍰與代步支出）</t>
    </r>
  </si>
  <si>
    <t xml:space="preserve">LT_T002</t>
  </si>
  <si>
    <t xml:space="preserve">樓上漏水的談判</t>
  </si>
  <si>
    <t xml:space="preserve">天花板滴了三週，對方一直不回訊息。</t>
  </si>
  <si>
    <t xml:space="preserve">同一糾紛，用調解或用訴訟，差一個月的支出。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</si>
  <si>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：你先蒐證再找調解委員會，兩次會面就談成分攤。｜現金 </t>
    </r>
    <r>
      <rPr>
        <sz val="10"/>
        <rFont val="Arial"/>
        <family val="0"/>
        <charset val="1"/>
      </rPr>
      <t xml:space="preserve">-15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自己（訴訟費與修繕）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：你在群組公開叫罵，對方反告妨害名譽，兩邊請律師。｜現金 </t>
    </r>
    <r>
      <rPr>
        <sz val="10"/>
        <rFont val="Arial"/>
        <family val="0"/>
        <charset val="1"/>
      </rPr>
      <t xml:space="preserve">-90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自己（訴訟費與修繕）</t>
    </r>
  </si>
  <si>
    <t xml:space="preserve">LT_T003</t>
  </si>
  <si>
    <t xml:space="preserve">尾牙那桌的爭執</t>
  </si>
  <si>
    <t xml:space="preserve">酒過三巡，話開始不好聽了。</t>
  </si>
  <si>
    <t xml:space="preserve">情緒失控的帳單，通常隔天早上才寄到。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</si>
  <si>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：你放下杯子先送同事回家，隔天大家都謝謝你。｜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：推擠中打破店裡隔屏，做完筆錄後和解賠償。｜現金 </t>
    </r>
    <r>
      <rPr>
        <sz val="10"/>
        <rFont val="Arial"/>
        <family val="0"/>
        <charset val="1"/>
      </rPr>
      <t xml:space="preserve">-55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自己（賠償與和解金）</t>
    </r>
  </si>
  <si>
    <t xml:space="preserve">LT_T004</t>
  </si>
  <si>
    <t xml:space="preserve">週年慶的購物車</t>
  </si>
  <si>
    <t xml:space="preserve">限時三小時，滿額再送。</t>
  </si>
  <si>
    <t xml:space="preserve">衝動購物的帳單會分十二期提醒你當時的心情。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</si>
  <si>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：你把購物車放過一夜，隔天只留真正需要的兩件。｜現金 </t>
    </r>
    <r>
      <rPr>
        <sz val="10"/>
        <rFont val="Arial"/>
        <family val="0"/>
        <charset val="1"/>
      </rPr>
      <t xml:space="preserve">-12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自己（衝動消費與循環利息）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：你刷了卡也刷了關係，為帳單跟家人冷戰兩週。｜現金 </t>
    </r>
    <r>
      <rPr>
        <sz val="10"/>
        <rFont val="Arial"/>
        <family val="0"/>
        <charset val="1"/>
      </rPr>
      <t xml:space="preserve">-58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自己（衝動消費與循環利息）</t>
    </r>
  </si>
  <si>
    <t xml:space="preserve">LT_T005</t>
  </si>
  <si>
    <t xml:space="preserve">線上遊戲的口角</t>
  </si>
  <si>
    <t xml:space="preserve">對方一句嘲諷，你手指懸在課金鍵上。</t>
  </si>
  <si>
    <t xml:space="preserve">為了爭一口氣課下去的金，事後最難解釋。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</si>
  <si>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：你關掉遊戲去洗了個澡，回來已經無所謂了。｜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：你連課三筆想壓過對方，帳單來時只剩懊悔。｜現金 </t>
    </r>
    <r>
      <rPr>
        <sz val="10"/>
        <rFont val="Arial"/>
        <family val="0"/>
        <charset val="1"/>
      </rPr>
      <t xml:space="preserve">-40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自己（衝動課金）</t>
    </r>
  </si>
  <si>
    <t xml:space="preserve">LT_T006</t>
  </si>
  <si>
    <t xml:space="preserve">停車位的爭執</t>
  </si>
  <si>
    <t xml:space="preserve">你先看到的位子，被硬插了進去。</t>
  </si>
  <si>
    <t xml:space="preserve">一個車位不值得賠上一整天與一身傷。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</si>
  <si>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：你笑笑地再繞一圈，找到更近的位子。｜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：雙方下車推擠，一個報警一個掛彩，各自賠償。｜現金 </t>
    </r>
    <r>
      <rPr>
        <sz val="10"/>
        <rFont val="Arial"/>
        <family val="0"/>
        <charset val="1"/>
      </rPr>
      <t xml:space="preserve">-70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自己（和解與醫藥費）</t>
    </r>
  </si>
  <si>
    <t xml:space="preserve">LT_T007</t>
  </si>
  <si>
    <t xml:space="preserve">裝潢糾紛的當面對質</t>
  </si>
  <si>
    <t xml:space="preserve">工班做壞了又不認帳。</t>
  </si>
  <si>
    <t xml:space="preserve">帶著情緒談判，通常只會讓成本更高。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</si>
  <si>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：你冷靜出示合約與照片，對方同意重做。｜現金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自己（重做工程加價）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：你當場翻臉趕人，工程停擺又得重找師傅加價。｜現金 </t>
    </r>
    <r>
      <rPr>
        <sz val="10"/>
        <rFont val="Arial"/>
        <family val="0"/>
        <charset val="1"/>
      </rPr>
      <t xml:space="preserve">-65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自己（重做工程加價）</t>
    </r>
  </si>
  <si>
    <t xml:space="preserve">LT_T008</t>
  </si>
  <si>
    <t xml:space="preserve">外送遲到的客訴</t>
  </si>
  <si>
    <r>
      <rPr>
        <sz val="10"/>
        <rFont val="Noto Sans CJK SC"/>
        <family val="2"/>
      </rPr>
      <t xml:space="preserve">餐點冷了，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又打不通。</t>
    </r>
  </si>
  <si>
    <t xml:space="preserve">為小事動怒，賠掉的是自己一整晚的好心情。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</si>
  <si>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：你平和申訴，平台退款還補了折價券。｜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：你留一星怒評又打電話飆罵，最後什麼也沒改變。｜現金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自己（重買一餐）</t>
    </r>
  </si>
  <si>
    <t xml:space="preserve">LT_T009</t>
  </si>
  <si>
    <t xml:space="preserve">十字路口的擦撞</t>
  </si>
  <si>
    <t xml:space="preserve">綠燈起步，右側機車突然竄出。</t>
  </si>
  <si>
    <t xml:space="preserve">保險與謹慎是把大額尾部風險換成小額固定成本。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</si>
  <si>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：你上過防禦駕駛、保險齊全，對方全責，只付免賠額。｜現金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自己（車禍維修與罰款）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：記錄器拍到你超速搶快，維修罰款和解一起來。｜現金 </t>
    </r>
    <r>
      <rPr>
        <sz val="10"/>
        <rFont val="Arial"/>
        <family val="0"/>
        <charset val="1"/>
      </rPr>
      <t xml:space="preserve">-75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自己（車禍維修與罰款）</t>
    </r>
  </si>
  <si>
    <t xml:space="preserve">LT_T010</t>
  </si>
  <si>
    <t xml:space="preserve">頂樓加蓋被檢舉</t>
  </si>
  <si>
    <t xml:space="preserve">里長說有人拍照去投訴了。</t>
  </si>
  <si>
    <t xml:space="preserve">違規的成本從不是罰單本身，是拆除與重做。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</si>
  <si>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：你當初就依規申請，只需補件與小額罰鍰。｜現金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自己（拆除與復原工程）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：未申請的加蓋被列管限期拆除，還得復原防水。｜現金 </t>
    </r>
    <r>
      <rPr>
        <sz val="10"/>
        <rFont val="Arial"/>
        <family val="0"/>
        <charset val="1"/>
      </rPr>
      <t xml:space="preserve">-95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自己（拆除與復原工程）</t>
    </r>
  </si>
  <si>
    <t xml:space="preserve">LT_T011</t>
  </si>
  <si>
    <t xml:space="preserve">廚房的小火</t>
  </si>
  <si>
    <t xml:space="preserve">油鍋起火那三秒，時間過得很慢。</t>
  </si>
  <si>
    <t xml:space="preserve">火險保費一年幾千，沒保的那年可能是幾十萬。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</si>
  <si>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：滅火器就在手邊、火險早保了，理賠後自付一點。｜現金 </t>
    </r>
    <r>
      <rPr>
        <sz val="10"/>
        <rFont val="Arial"/>
        <family val="0"/>
        <charset val="1"/>
      </rPr>
      <t xml:space="preserve">-14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自己（修復工程）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：沒滅火器也沒保火險，整套廚具與天花板重做。｜現金 </t>
    </r>
    <r>
      <rPr>
        <sz val="10"/>
        <rFont val="Arial"/>
        <family val="0"/>
        <charset val="1"/>
      </rPr>
      <t xml:space="preserve">-110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自己（修復工程）</t>
    </r>
  </si>
  <si>
    <t xml:space="preserve">LT_T012</t>
  </si>
  <si>
    <t xml:space="preserve">宴客後的腸胃炎</t>
  </si>
  <si>
    <t xml:space="preserve">冰箱深處那盒，你其實猶豫過。</t>
  </si>
  <si>
    <t xml:space="preserve">食安的疏忽會變成別人的醫藥費與你的信譽。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</si>
  <si>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：你出門前檢查過每樣食材，過期的早丟了。｜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：兩位朋友掛急診，你負擔醫藥費也失去一個週末。｜現金 </t>
    </r>
    <r>
      <rPr>
        <sz val="10"/>
        <rFont val="Arial"/>
        <family val="0"/>
        <charset val="1"/>
      </rPr>
      <t xml:space="preserve">-42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自己（醫藥費與慰問）</t>
    </r>
  </si>
  <si>
    <t xml:space="preserve">LT_T013</t>
  </si>
  <si>
    <t xml:space="preserve">連續超速罰單</t>
  </si>
  <si>
    <t xml:space="preserve">信箱一次來了三張。</t>
  </si>
  <si>
    <t xml:space="preserve">習慣性的小違規會累積成一筆固定支出。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</si>
  <si>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：你早設好速限提醒，這次只是臨停被開一張。｜現金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自己（罰鍰與講習）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：三張測速加一張闖紅燈，點數滿還得上講習。｜現金 </t>
    </r>
    <r>
      <rPr>
        <sz val="10"/>
        <rFont val="Arial"/>
        <family val="0"/>
        <charset val="1"/>
      </rPr>
      <t xml:space="preserve">-48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自己（罰鍰與講習）</t>
    </r>
  </si>
  <si>
    <t xml:space="preserve">LT_T014</t>
  </si>
  <si>
    <t xml:space="preserve">那個穩賺的內線</t>
  </si>
  <si>
    <t xml:space="preserve">朋友說跟著買就對了，別問。</t>
  </si>
  <si>
    <t xml:space="preserve">聽起來零風險的機會，風險往往在你看不到的地方。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</si>
  <si>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：你查了才發現是資金盤，果斷不碰全身而退。｜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：你一股腦投進去，三個月後平台無預警關站。｜現金 </t>
    </r>
    <r>
      <rPr>
        <sz val="10"/>
        <rFont val="Arial"/>
        <family val="0"/>
        <charset val="1"/>
      </rPr>
      <t xml:space="preserve">-130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自己（血本無歸）</t>
    </r>
  </si>
  <si>
    <t xml:space="preserve">LT_T015</t>
  </si>
  <si>
    <t xml:space="preserve">來路不明的租約</t>
  </si>
  <si>
    <t xml:space="preserve">房東要你先付半年，合約含糊。</t>
  </si>
  <si>
    <t xml:space="preserve">簽名前多看一眼，省下漫長的糾紛。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</si>
  <si>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：你逐條談清楚、要求正式合約，住得安穩。｜現金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自己（押金損失與搬遷）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：你嫌麻煩就簽了，押金被苛扣還被提前收回。｜現金 </t>
    </r>
    <r>
      <rPr>
        <sz val="10"/>
        <rFont val="Arial"/>
        <family val="0"/>
        <charset val="1"/>
      </rPr>
      <t xml:space="preserve">-50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自己（押金損失與搬遷）</t>
    </r>
  </si>
  <si>
    <t xml:space="preserve">LT_T016</t>
  </si>
  <si>
    <t xml:space="preserve">颱風天的僥倖</t>
  </si>
  <si>
    <t xml:space="preserve">路樹壓下來，你的車停在紅線邊。</t>
  </si>
  <si>
    <t xml:space="preserve">省下的停車費，抵不過一次意外的維修。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</si>
  <si>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：你早把車開進停車場，安然無事。｜現金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自己（維修與罰鍰）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：違停車被砸中，既無理賠又吃了張罰單。｜現金 </t>
    </r>
    <r>
      <rPr>
        <sz val="10"/>
        <rFont val="Arial"/>
        <family val="0"/>
        <charset val="1"/>
      </rPr>
      <t xml:space="preserve">-45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自己（維修與罰鍰）</t>
    </r>
  </si>
  <si>
    <t xml:space="preserve">LT_T017</t>
  </si>
  <si>
    <t xml:space="preserve">保健食品的大單</t>
  </si>
  <si>
    <t xml:space="preserve">業務說買一年份最划算。</t>
  </si>
  <si>
    <t xml:space="preserve">恐懼行銷面前，證據比話術重要。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</si>
  <si>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：你查了成分覺得沒必要，只買一小盒試。｜現金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自己（囤貨浪費）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：你被說動囤了一整年，吃兩個月就發現沒感覺。｜現金 </t>
    </r>
    <r>
      <rPr>
        <sz val="10"/>
        <rFont val="Arial"/>
        <family val="0"/>
        <charset val="1"/>
      </rPr>
      <t xml:space="preserve">-38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自己（囤貨浪費）</t>
    </r>
  </si>
  <si>
    <t xml:space="preserve">LT_T018</t>
  </si>
  <si>
    <t xml:space="preserve">手機遊戲的帳單</t>
  </si>
  <si>
    <t xml:space="preserve">信用卡簡訊連響十七次。</t>
  </si>
  <si>
    <t xml:space="preserve">孩子的金錢觀是教出來的，不是等帳單來教。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</si>
  <si>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：你們早約好每月遊戲預算，他自己停在額度內。｜現金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自己（遊戲儲值）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：半夜用你的卡課金，申訴不成，只能當昂貴一課。｜現金 </t>
    </r>
    <r>
      <rPr>
        <sz val="10"/>
        <rFont val="Arial"/>
        <family val="0"/>
        <charset val="1"/>
      </rPr>
      <t xml:space="preserve">-45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自己（遊戲儲值）</t>
    </r>
  </si>
  <si>
    <t xml:space="preserve">LT_T019</t>
  </si>
  <si>
    <t xml:space="preserve">深夜的一通電話</t>
  </si>
  <si>
    <t xml:space="preserve">派出所說，請家長來一趟。</t>
  </si>
  <si>
    <t xml:space="preserve">青春期的孩子需要陪伴，不是保證金。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</si>
  <si>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：導師與你早有默契，孩子道歉並完成勞動服務。｜現金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自己（保證金與賠償）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：對方要求賠償，你先繳保證金，還有幾次調解要跑。｜現金 </t>
    </r>
    <r>
      <rPr>
        <sz val="10"/>
        <rFont val="Arial"/>
        <family val="0"/>
        <charset val="1"/>
      </rPr>
      <t xml:space="preserve">-60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自己（保證金與賠償）</t>
    </r>
  </si>
  <si>
    <t xml:space="preserve">LT_T020</t>
  </si>
  <si>
    <t xml:space="preserve">他說不想去學校了</t>
  </si>
  <si>
    <t xml:space="preserve">連續第五天，他把棉被拉過頭。</t>
  </si>
  <si>
    <t xml:space="preserve">及早介入的輔導成本，遠低於長期缺課的代價。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</si>
  <si>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：你請半天假陪他去談，導師與輔導老師接住這事。｜現金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自己（諮商與課輔）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：拖了兩個月才處理，需自費諮商與課業補救。｜現金 </t>
    </r>
    <r>
      <rPr>
        <sz val="10"/>
        <rFont val="Arial"/>
        <family val="0"/>
        <charset val="1"/>
      </rPr>
      <t xml:space="preserve">-52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自己（諮商與課輔）</t>
    </r>
  </si>
  <si>
    <t xml:space="preserve">LT_T021</t>
  </si>
  <si>
    <t xml:space="preserve">偏食引發的健康警訊</t>
  </si>
  <si>
    <t xml:space="preserve">健檢報告上的紅字讓你心頭一驚。</t>
  </si>
  <si>
    <t xml:space="preserve">飲食習慣是童年養成的，改起來要趁早。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</si>
  <si>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：你們早就一起調整三餐，複檢一切正常。｜現金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自己（就醫與飲食調整）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：長期外食與含糖飲料，得長期追蹤與調理。｜現金 </t>
    </r>
    <r>
      <rPr>
        <sz val="10"/>
        <rFont val="Arial"/>
        <family val="0"/>
        <charset val="1"/>
      </rPr>
      <t xml:space="preserve">-40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自己（就醫與飲食調整）</t>
    </r>
  </si>
  <si>
    <t xml:space="preserve">LT_T022</t>
  </si>
  <si>
    <t xml:space="preserve">才藝班的中途放棄</t>
  </si>
  <si>
    <t xml:space="preserve">學費繳了半年，他說不想學了。</t>
  </si>
  <si>
    <t xml:space="preserve">允許放棄，但也要學會為選擇負責。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</si>
  <si>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：你們約好這期上完再決定，錢沒白花。｜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：當場退班違約，學費打水漂還鬧了脾氣。｜現金 </t>
    </r>
    <r>
      <rPr>
        <sz val="10"/>
        <rFont val="Arial"/>
        <family val="0"/>
        <charset val="1"/>
      </rPr>
      <t xml:space="preserve">-22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自己（違約與退費損失）</t>
    </r>
  </si>
  <si>
    <t xml:space="preserve">LT_T023</t>
  </si>
  <si>
    <t xml:space="preserve">接送脫班的意外</t>
  </si>
  <si>
    <t xml:space="preserve">放學沒接到，孩子自己亂走。</t>
  </si>
  <si>
    <t xml:space="preserve">安全的默契，是日常一次次演練出來的。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</si>
  <si>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：你們有備案地點，他乖乖在便利商店等你。｜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：沒約好會合點，一場虛驚外加報警協尋。｜現金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自己（協尋與驚嚇後安撫）</t>
    </r>
  </si>
  <si>
    <t xml:space="preserve">LT_T024</t>
  </si>
  <si>
    <t xml:space="preserve">爸媽說要幫忙帶孫</t>
  </si>
  <si>
    <t xml:space="preserve">「你們去忙，小孩放我這。」</t>
  </si>
  <si>
    <t xml:space="preserve">孝順換到的是一個會互相接住的家。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</si>
  <si>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：這些年你常回家，這次換他們主動幫忙，托育少一半。｜每月支出（限時）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自己（長輩協助托育）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：他們也想幫，但少了走動，最後仍照原安排。｜</t>
    </r>
  </si>
  <si>
    <t xml:space="preserve">LT_T025</t>
  </si>
  <si>
    <t xml:space="preserve">媽媽的冰箱</t>
  </si>
  <si>
    <t xml:space="preserve">後車廂塞滿了保鮮盒。</t>
  </si>
  <si>
    <t xml:space="preserve">家庭支持是一種不會出現在報表上的資產。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</si>
  <si>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：每次回去都被塞滿一車，這個月伙食省一截。｜每月支出（限時）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自己（家裡的伙食支援）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：你已很久沒回去，這個月照常自己張羅。｜</t>
    </r>
  </si>
  <si>
    <t xml:space="preserve">LT_T026</t>
  </si>
  <si>
    <t xml:space="preserve">老家的空房</t>
  </si>
  <si>
    <t xml:space="preserve">「要不要搬回來住一陣子？」</t>
  </si>
  <si>
    <t xml:space="preserve">走得近的家人，是低潮時的緩衝墊。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</si>
  <si>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：你們感情好，回老家住幾個月，房租省下來喘口氣。｜每月支出（限時）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自己（暫住老家省房租）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：關係疏遠，你不好意思開口，還是自己撐。｜</t>
    </r>
  </si>
  <si>
    <t xml:space="preserve">LT_T027</t>
  </si>
  <si>
    <t xml:space="preserve">父親的老人津貼</t>
  </si>
  <si>
    <t xml:space="preserve">他悄悄把補助塞進你手裡。</t>
  </si>
  <si>
    <t xml:space="preserve">有些支援，是父母表達愛的方式。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</si>
  <si>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：你常陪伴，他主動貼補你一點家用。｜每月支出（限時）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自己（長輩貼補家用）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：少了往來，他也就沒多說什麼。｜</t>
    </r>
  </si>
  <si>
    <t xml:space="preserve">LT_T028</t>
  </si>
  <si>
    <t xml:space="preserve">家族的資金周轉</t>
  </si>
  <si>
    <t xml:space="preserve">親戚急需一筆錢周轉。</t>
  </si>
  <si>
    <t xml:space="preserve">平時的情分，是急難時互相的底氣。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</si>
  <si>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：你人緣好，這回換親戚無息借你一筆度過難關。｜每月支出（限時）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自己（親族無息周轉）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：平時少往來，這次只能自己想辦法——找了利息高的短期周轉，代價不小。｜現金 </t>
    </r>
    <r>
      <rPr>
        <sz val="10"/>
        <rFont val="Arial"/>
        <family val="0"/>
        <charset val="1"/>
      </rPr>
      <t xml:space="preserve">-35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自己（急用錢只能找貴的管道）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開關</t>
    </r>
    <r>
      <rPr>
        <sz val="10"/>
        <rFont val="Arial"/>
        <family val="0"/>
        <charset val="1"/>
      </rPr>
      <t xml:space="preserve">:contentFixS12]</t>
    </r>
  </si>
  <si>
    <t xml:space="preserve">LT_T029</t>
  </si>
  <si>
    <t xml:space="preserve">母親的手藝副業</t>
  </si>
  <si>
    <t xml:space="preserve">她做的醬菜在鄰里賣得不錯。</t>
  </si>
  <si>
    <t xml:space="preserve">家人的互助，常常是雙向的現金流。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</si>
  <si>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：你幫忙上架網購，她分你一些盈餘。｜每月支出（限時） </t>
    </r>
    <r>
      <rPr>
        <sz val="10"/>
        <rFont val="Arial"/>
        <family val="0"/>
        <charset val="1"/>
      </rPr>
      <t xml:space="preserve">-2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自己（協助家中副業分潤）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：你沒空理會，這事也就淡了。｜</t>
    </r>
  </si>
  <si>
    <t xml:space="preserve">LT_T030</t>
  </si>
  <si>
    <t xml:space="preserve">鄰居的深夜噪音</t>
  </si>
  <si>
    <t xml:space="preserve">樓上又在半夜拖桌子。</t>
  </si>
  <si>
    <t xml:space="preserve">衝動的反擊，常讓小事變成長期戰。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</si>
  <si>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：你留了張客氣的字條，對方隔天來道歉。｜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：你上樓拍門對嗆，從此樓梯間都是火藥味，還被檢舉。｜現金 </t>
    </r>
    <r>
      <rPr>
        <sz val="10"/>
        <rFont val="Arial"/>
        <family val="0"/>
        <charset val="1"/>
      </rPr>
      <t xml:space="preserve">-35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自己（糾紛與心理消耗）</t>
    </r>
  </si>
  <si>
    <t xml:space="preserve">LT_T031</t>
  </si>
  <si>
    <t xml:space="preserve">被檢舉的行車糾紛</t>
  </si>
  <si>
    <t xml:space="preserve">對方硬要你賠，情緒一下上來。</t>
  </si>
  <si>
    <t xml:space="preserve">先冷靜蒐證，勝過當場翻臉。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</si>
  <si>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：你調出行車記錄器，理性協商，各退一步。｜現金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自己（訴訟與時間成本）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：你當街理論越吵越兇，最後對簿公堂。｜現金 </t>
    </r>
    <r>
      <rPr>
        <sz val="10"/>
        <rFont val="Arial"/>
        <family val="0"/>
        <charset val="1"/>
      </rPr>
      <t xml:space="preserve">-68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自己（訴訟與時間成本）</t>
    </r>
  </si>
  <si>
    <t xml:space="preserve">LT_T032</t>
  </si>
  <si>
    <t xml:space="preserve">餐廳的上錯菜</t>
  </si>
  <si>
    <t xml:space="preserve">等了一小時，端來的還是錯的。</t>
  </si>
  <si>
    <t xml:space="preserve">對服務生發火，改變不了廚房。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</si>
  <si>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：你平靜反映，店家致歉並招待甜點。｜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：你當眾飆罵，鬧到用餐心情全毀、還被拍照上網。｜現金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自己（重點一餐與形象）</t>
    </r>
  </si>
  <si>
    <t xml:space="preserve">LT_T033</t>
  </si>
  <si>
    <t xml:space="preserve">社群上的酸言</t>
  </si>
  <si>
    <t xml:space="preserve">有人在你貼文下留了難聽的話。</t>
  </si>
  <si>
    <t xml:space="preserve">餵養爭吵的，往往是自己的回覆鍵。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</si>
  <si>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：你截圖封鎖，繼續過你的生活。｜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：你回嗆演變成筆戰，整晚睡不好還被人肉。｜現金 </t>
    </r>
    <r>
      <rPr>
        <sz val="10"/>
        <rFont val="Arial"/>
        <family val="0"/>
        <charset val="1"/>
      </rPr>
      <t xml:space="preserve">-20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自己（情緒內耗）</t>
    </r>
  </si>
  <si>
    <t xml:space="preserve">LT_T034</t>
  </si>
  <si>
    <t xml:space="preserve">退貨的爭執</t>
  </si>
  <si>
    <t xml:space="preserve">店員說超過期限不能退。</t>
  </si>
  <si>
    <t xml:space="preserve">把音量降下來，事情反而好談。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</si>
  <si>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：你出示購買紀錄好好溝通，換到了折抵。｜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：你在店裡大鬧，最後什麼也沒退成。｜現金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自己（衝突後的補買）</t>
    </r>
  </si>
  <si>
    <t xml:space="preserve">LT_T035</t>
  </si>
  <si>
    <t xml:space="preserve">違建的頂樓菜園</t>
  </si>
  <si>
    <t xml:space="preserve">鄰居檢舉你加蓋的溫室。</t>
  </si>
  <si>
    <t xml:space="preserve">僥倖蓋的，總有一天要拆。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</si>
  <si>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：你當初申請合法棚架，補件即可。｜現金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自己（拆除與復原）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：違規棚架限期拆除，還要復原防水。｜現金 </t>
    </r>
    <r>
      <rPr>
        <sz val="10"/>
        <rFont val="Arial"/>
        <family val="0"/>
        <charset val="1"/>
      </rPr>
      <t xml:space="preserve">-70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自己（拆除與復原）</t>
    </r>
  </si>
  <si>
    <t xml:space="preserve">LT_T036</t>
  </si>
  <si>
    <t xml:space="preserve">無照的代駕</t>
  </si>
  <si>
    <t xml:space="preserve">朋友說喝一點沒關係。</t>
  </si>
  <si>
    <t xml:space="preserve">一次僥倖，可能賠上一生。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</si>
  <si>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：你堅持叫代駕，多花點錢換平安。｜現金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自己（罰鍰吊照與代步）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：你自認沒事上路被攔，酒駕重罰又吊照。｜現金 </t>
    </r>
    <r>
      <rPr>
        <sz val="10"/>
        <rFont val="Arial"/>
        <family val="0"/>
        <charset val="1"/>
      </rPr>
      <t xml:space="preserve">-150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自己（罰鍰吊照與代步）</t>
    </r>
  </si>
  <si>
    <t xml:space="preserve">LT_T037</t>
  </si>
  <si>
    <t xml:space="preserve">來路不明的網購保健品</t>
  </si>
  <si>
    <t xml:space="preserve">超便宜，還限時搶購。</t>
  </si>
  <si>
    <t xml:space="preserve">便宜的代價，有時是健康。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</si>
  <si>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：你查了沒有許可字號，果斷不買。｜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：你買了吃出問題，就醫又求償無門。｜現金 </t>
    </r>
    <r>
      <rPr>
        <sz val="10"/>
        <rFont val="Arial"/>
        <family val="0"/>
        <charset val="1"/>
      </rPr>
      <t xml:space="preserve">-44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自己（就醫與損失）</t>
    </r>
  </si>
  <si>
    <t xml:space="preserve">LT_T038</t>
  </si>
  <si>
    <t xml:space="preserve">跳過的房屋健檢</t>
  </si>
  <si>
    <t xml:space="preserve">急著入住，就沒仔細看。</t>
  </si>
  <si>
    <t xml:space="preserve">省下的檢查費，抵不過漏水的維修。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</si>
  <si>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：你花錢做了驗屋，抓出問題請屋主修。｜現金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自己（修繕工程）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：入住才發現壁癌與管線老舊，自費重做。｜現金 </t>
    </r>
    <r>
      <rPr>
        <sz val="10"/>
        <rFont val="Arial"/>
        <family val="0"/>
        <charset val="1"/>
      </rPr>
      <t xml:space="preserve">-90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自己（修繕工程）</t>
    </r>
  </si>
  <si>
    <t xml:space="preserve">LT_T039</t>
  </si>
  <si>
    <t xml:space="preserve">僥倖的超載</t>
  </si>
  <si>
    <t xml:space="preserve">載重超一點，想說沒差。</t>
  </si>
  <si>
    <t xml:space="preserve">規則是用別人的教訓寫成的。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</si>
  <si>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：你分兩趟載運，穩穩到位。｜現金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自己（罰鍰與轉運）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：超載被攔重罰，還得卸貨轉運。｜現金 </t>
    </r>
    <r>
      <rPr>
        <sz val="10"/>
        <rFont val="Arial"/>
        <family val="0"/>
        <charset val="1"/>
      </rPr>
      <t xml:space="preserve">-40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自己（罰鍰與轉運）</t>
    </r>
  </si>
  <si>
    <t xml:space="preserve">LT_T040</t>
  </si>
  <si>
    <t xml:space="preserve">高報酬的群組明牌</t>
  </si>
  <si>
    <t xml:space="preserve">群組每天報「保證獲利」的標的。</t>
  </si>
  <si>
    <t xml:space="preserve">保證獲利四個字，就是最大的紅旗。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</si>
  <si>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：你退出群組，把錢放回自己看得懂的資產。｜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：你跟單重押，主力出貨後套在高點。｜現金 </t>
    </r>
    <r>
      <rPr>
        <sz val="10"/>
        <rFont val="Arial"/>
        <family val="0"/>
        <charset val="1"/>
      </rPr>
      <t xml:space="preserve">-120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自己（套牢虧損）</t>
    </r>
  </si>
  <si>
    <t xml:space="preserve">LT_T041</t>
  </si>
  <si>
    <t xml:space="preserve">孩子的網路交友</t>
  </si>
  <si>
    <t xml:space="preserve">他認識了一個「網路上的大哥哥」。</t>
  </si>
  <si>
    <t xml:space="preserve">陪伴與界線，是最好的防護。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</si>
  <si>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：你們早聊過網路安全，他主動跟你說了。｜現金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自己（損失與輔導）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：疏於溝通，孩子被騙個資與零用錢。｜現金 </t>
    </r>
    <r>
      <rPr>
        <sz val="10"/>
        <rFont val="Arial"/>
        <family val="0"/>
        <charset val="1"/>
      </rPr>
      <t xml:space="preserve">-55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自己（損失與輔導）</t>
    </r>
  </si>
  <si>
    <t xml:space="preserve">LT_T042</t>
  </si>
  <si>
    <t xml:space="preserve">孩子的含糖飲料習慣</t>
  </si>
  <si>
    <t xml:space="preserve">一天一杯手搖，停不下來。</t>
  </si>
  <si>
    <t xml:space="preserve">習慣是複利，好壞都是。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</si>
  <si>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：你們一起改成無糖與白開水，體檢過關。｜現金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自己（就醫與飲食調整）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：長期高糖引發健康警訊，得長期調整。｜現金 </t>
    </r>
    <r>
      <rPr>
        <sz val="10"/>
        <rFont val="Arial"/>
        <family val="0"/>
        <charset val="1"/>
      </rPr>
      <t xml:space="preserve">-42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自己（就醫與飲食調整）</t>
    </r>
  </si>
  <si>
    <t xml:space="preserve">LT_T043</t>
  </si>
  <si>
    <t xml:space="preserve">孩子沉迷手機</t>
  </si>
  <si>
    <t xml:space="preserve">作業擺著，眼睛黏在螢幕上。</t>
  </si>
  <si>
    <t xml:space="preserve">規則要早立，晚了就難收。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</si>
  <si>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：你們早有使用公約，他自己會收手。｜現金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自己（換機與輔導）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：衝突升級到摔手機，還得買新的加諮商。｜現金 </t>
    </r>
    <r>
      <rPr>
        <sz val="10"/>
        <rFont val="Arial"/>
        <family val="0"/>
        <charset val="1"/>
      </rPr>
      <t xml:space="preserve">-48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自己（換機與輔導）</t>
    </r>
  </si>
  <si>
    <t xml:space="preserve">LT_T044</t>
  </si>
  <si>
    <t xml:space="preserve">校門口的安全</t>
  </si>
  <si>
    <t xml:space="preserve">放學時段車來人往。</t>
  </si>
  <si>
    <t xml:space="preserve">安全的默契，救的是最壞那天。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</si>
  <si>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：你們約好固定會合點，平安接送。｜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：沒說好地點，一次走失虛驚報警。｜現金 </t>
    </r>
    <r>
      <rPr>
        <sz val="10"/>
        <rFont val="Arial"/>
        <family val="0"/>
        <charset val="1"/>
      </rPr>
      <t xml:space="preserve">-20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自己（協尋與安撫）</t>
    </r>
  </si>
  <si>
    <t xml:space="preserve">LT_T045</t>
  </si>
  <si>
    <t xml:space="preserve">才藝與課業的拉扯</t>
  </si>
  <si>
    <t xml:space="preserve">樣樣都想學，時間卻不夠。</t>
  </si>
  <si>
    <t xml:space="preserve">選擇的能力，比才藝本身更重要。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</si>
  <si>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：你們一起排優先序，取捨得宜。｜現金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自己（退費與調整）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：貪多排滿，孩子累到情緒崩潰要收拾。｜現金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自己（退費與調整）</t>
    </r>
  </si>
  <si>
    <t xml:space="preserve">LT_T046</t>
  </si>
  <si>
    <t xml:space="preserve">颱風夜的老家</t>
  </si>
  <si>
    <t xml:space="preserve">停電那晚，你想起獨居的爸媽。</t>
  </si>
  <si>
    <t xml:space="preserve">常聯絡的家，急難時互相接得住。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</si>
  <si>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：你平時常回去，鄰里都熟，這次託鄰居就近照應，省了跑一趟。｜每月支出（限時） </t>
    </r>
    <r>
      <rPr>
        <sz val="10"/>
        <rFont val="Arial"/>
        <family val="0"/>
        <charset val="1"/>
      </rPr>
      <t xml:space="preserve">-5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自己（就近照應省成本）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：少往來又不熟鄰里，你只能連夜開車回去處理——油錢、過路費，還請了一天假。｜現金 </t>
    </r>
    <r>
      <rPr>
        <sz val="10"/>
        <rFont val="Arial"/>
        <family val="0"/>
        <charset val="1"/>
      </rPr>
      <t xml:space="preserve">-22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自己（連夜開車來回與請假）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開關</t>
    </r>
    <r>
      <rPr>
        <sz val="10"/>
        <rFont val="Arial"/>
        <family val="0"/>
        <charset val="1"/>
      </rPr>
      <t xml:space="preserve">:contentFixS12]</t>
    </r>
  </si>
  <si>
    <t xml:space="preserve">LT_T047</t>
  </si>
  <si>
    <t xml:space="preserve">母親的老客戶</t>
  </si>
  <si>
    <t xml:space="preserve">她年輕時的人脈還在。</t>
  </si>
  <si>
    <t xml:space="preserve">家人的善緣，有時會變成你的機會。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</si>
  <si>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：媽媽介紹了一位老客戶給你的副業，帶來一筆收入。｜每月支出（限時）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自己（家族人脈帶來收入）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：你們少談彼此的事，這層連結就斷了。｜</t>
    </r>
  </si>
  <si>
    <t xml:space="preserve">LT_T048</t>
  </si>
  <si>
    <t xml:space="preserve">父親的老同事</t>
  </si>
  <si>
    <t xml:space="preserve">一句話就幫你搭上線。</t>
  </si>
  <si>
    <t xml:space="preserve">父母鋪的路，常在你看不見時起作用。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</si>
  <si>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：爸爸的老同事幫你引薦，省下一筆仲介與時間。｜每月支出（限時） </t>
    </r>
    <r>
      <rPr>
        <sz val="10"/>
        <rFont val="Arial"/>
        <family val="0"/>
        <charset val="1"/>
      </rPr>
      <t xml:space="preserve">-6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自己（長輩人脈省成本）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：關係淡了，這條線也就用不上。｜</t>
    </r>
  </si>
  <si>
    <t xml:space="preserve">LT_T049</t>
  </si>
  <si>
    <t xml:space="preserve">家傳的老手藝</t>
  </si>
  <si>
    <t xml:space="preserve">阿嬤的醃菜配方沒人接。</t>
  </si>
  <si>
    <t xml:space="preserve">願意學的人，接住的是一份可能。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</si>
  <si>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：你學會了家傳手藝，週末小量販售多了收入。｜每月支出（限時）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自己（家傳手藝變收入）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：沒人接手，配方就跟著時間淡去。｜</t>
    </r>
  </si>
  <si>
    <t xml:space="preserve">LT_T050</t>
  </si>
  <si>
    <t xml:space="preserve">老家的閒置空間</t>
  </si>
  <si>
    <t xml:space="preserve">一樓騎樓一直空著。</t>
  </si>
  <si>
    <t xml:space="preserve">家人的資源，常被忽略。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</si>
  <si>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：你和父母商量把騎樓整理出租，多一份被動收入。｜每月支出（限時） </t>
    </r>
    <r>
      <rPr>
        <sz val="10"/>
        <rFont val="Arial"/>
        <family val="0"/>
        <charset val="1"/>
      </rPr>
      <t xml:space="preserve">-7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自己（閒置空間活化）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：彼此不常商量，這個機會也就擱著。｜</t>
    </r>
  </si>
  <si>
    <t xml:space="preserve">LT_T051</t>
  </si>
  <si>
    <t xml:space="preserve">直播間的衝動抖內</t>
  </si>
  <si>
    <t xml:space="preserve">主播一句「差你一個」，手就滑了。</t>
  </si>
  <si>
    <t xml:space="preserve">衝動的贊助，隔天最難解釋。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</si>
  <si>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：你設了每月娛樂上限，笑笑關掉直播。｜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：你連刷大額禮物想被看見，帳單來時只剩空虛。｜現金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自己（衝動贊助）</t>
    </r>
  </si>
  <si>
    <t xml:space="preserve">LT_T052</t>
  </si>
  <si>
    <t xml:space="preserve">二手家電的便宜貨</t>
  </si>
  <si>
    <t xml:space="preserve">賣家說九成新，現金交易。</t>
  </si>
  <si>
    <t xml:space="preserve">貪小便宜，常買到大麻煩。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</si>
  <si>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：你要求測試通電與保固，確認才付款。｜現金 </t>
    </r>
    <r>
      <rPr>
        <sz val="10"/>
        <rFont val="Arial"/>
        <family val="0"/>
        <charset val="1"/>
      </rPr>
      <t xml:space="preserve">-2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自己（損失與重買）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：買回發現是故障品，賣家已失聯。｜現金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自己（損失與重買）</t>
    </r>
  </si>
  <si>
    <t xml:space="preserve">LT_T053</t>
  </si>
  <si>
    <t xml:space="preserve">孩子想要最新款手機</t>
  </si>
  <si>
    <t xml:space="preserve">同學都有，他也開口了。</t>
  </si>
  <si>
    <t xml:space="preserve">需要與想要，是要一起分辨的功課。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</si>
  <si>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：你們討論後用舊機加條件，他也接受。｜現金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自己（超支消費）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：拗不過就買了旗艦機，預算大破洞。｜現金 </t>
    </r>
    <r>
      <rPr>
        <sz val="10"/>
        <rFont val="Arial"/>
        <family val="0"/>
        <charset val="1"/>
      </rPr>
      <t xml:space="preserve">-45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自己（超支消費）</t>
    </r>
  </si>
  <si>
    <t xml:space="preserve">LT_T054</t>
  </si>
  <si>
    <t xml:space="preserve">父母的一句提醒</t>
  </si>
  <si>
    <t xml:space="preserve">他們看你臉色就知道你累了。</t>
  </si>
  <si>
    <t xml:space="preserve">家人的關心，是無形的支撐。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</si>
  <si>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：你常回家，這回媽媽的一句話點醒你別急著投資，避開一個坑。｜每月支出（限時）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自己（長輩提醒避險）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：少了往來，這份提醒也就沒機會出現——那筆投資你還是進去了，賠了一筆才學到。｜現金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自己（沒人提醒，踩了那個坑）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開關</t>
    </r>
    <r>
      <rPr>
        <sz val="10"/>
        <rFont val="Arial"/>
        <family val="0"/>
        <charset val="1"/>
      </rPr>
      <t xml:space="preserve">:contentFixS12]</t>
    </r>
  </si>
  <si>
    <t xml:space="preserve">LT_T055</t>
  </si>
  <si>
    <t xml:space="preserve">家族的資源共享</t>
  </si>
  <si>
    <t xml:space="preserve">叔叔的店面剛好空著。</t>
  </si>
  <si>
    <t xml:space="preserve">走得近，機會才輪得到你。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</si>
  <si>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：叔叔把店面優先租你創業，租金給了折扣。｜每月支出（限時） </t>
    </r>
    <r>
      <rPr>
        <sz val="10"/>
        <rFont val="Arial"/>
        <family val="0"/>
        <charset val="1"/>
      </rPr>
      <t xml:space="preserve">-9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自己（家族優惠租金）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：關係疏遠，這個機會就給了別人。｜</t>
    </r>
  </si>
  <si>
    <t xml:space="preserve">LT_T056</t>
  </si>
  <si>
    <t xml:space="preserve">母親的老鄰居</t>
  </si>
  <si>
    <t xml:space="preserve">一句話幫你打聽到好物件。</t>
  </si>
  <si>
    <t xml:space="preserve">人情網絡，是看不見的資產。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</si>
  <si>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：透過媽媽的鄰居，你找到划算的租屋，省了仲介費。｜每月支出（限時） 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持續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輪 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自己（人脈省下成本）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：你們不常走動，這條線就斷了。｜</t>
    </r>
  </si>
  <si>
    <t xml:space="preserve">LT_D001</t>
  </si>
  <si>
    <t xml:space="preserve">DAILY</t>
  </si>
  <si>
    <t xml:space="preserve">年菜採買</t>
  </si>
  <si>
    <t xml:space="preserve">一年一次，總不好意思少買。</t>
  </si>
  <si>
    <t xml:space="preserve">LT_D002</t>
  </si>
  <si>
    <t xml:space="preserve">同事聚餐輪你請</t>
  </si>
  <si>
    <t xml:space="preserve">上次是他，這次躲不掉。</t>
  </si>
  <si>
    <t xml:space="preserve">LT_D003</t>
  </si>
  <si>
    <t xml:space="preserve">外送吃到習慣</t>
  </si>
  <si>
    <r>
      <rPr>
        <sz val="10"/>
        <rFont val="Noto Sans CJK SC"/>
        <family val="2"/>
      </rPr>
      <t xml:space="preserve">這個月開了二十三次 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。</t>
    </r>
  </si>
  <si>
    <t xml:space="preserve">LT_D004</t>
  </si>
  <si>
    <t xml:space="preserve">廚房小家電陣亡</t>
  </si>
  <si>
    <t xml:space="preserve">電鍋按下去沒跳起來。</t>
  </si>
  <si>
    <t xml:space="preserve">LT_D005</t>
  </si>
  <si>
    <t xml:space="preserve">跟風的網紅名店</t>
  </si>
  <si>
    <t xml:space="preserve">排了兩小時，拍了三張照。</t>
  </si>
  <si>
    <t xml:space="preserve">LT_D006</t>
  </si>
  <si>
    <t xml:space="preserve">母親節大餐訂位</t>
  </si>
  <si>
    <t xml:space="preserve">一年就這麼一次。</t>
  </si>
  <si>
    <t xml:space="preserve">LT_D007</t>
  </si>
  <si>
    <t xml:space="preserve">健身後的高蛋白飲食</t>
  </si>
  <si>
    <t xml:space="preserve">雞胸肉一次囤一整箱。</t>
  </si>
  <si>
    <t xml:space="preserve">LT_D008</t>
  </si>
  <si>
    <t xml:space="preserve">家庭聚餐加菜</t>
  </si>
  <si>
    <t xml:space="preserve">難得到齊，多點兩道。</t>
  </si>
  <si>
    <t xml:space="preserve">LT_D009</t>
  </si>
  <si>
    <t xml:space="preserve">進口水果的犒賞</t>
  </si>
  <si>
    <t xml:space="preserve">貴，但這週辛苦了。</t>
  </si>
  <si>
    <t xml:space="preserve">LT_D010</t>
  </si>
  <si>
    <t xml:space="preserve">咖啡因上癮</t>
  </si>
  <si>
    <t xml:space="preserve">每天一杯手沖，一個月就有感。</t>
  </si>
  <si>
    <t xml:space="preserve">LT_D011</t>
  </si>
  <si>
    <t xml:space="preserve">過年伴手禮團購</t>
  </si>
  <si>
    <t xml:space="preserve">一次訂了五盒禮盒。</t>
  </si>
  <si>
    <t xml:space="preserve">LT_D012</t>
  </si>
  <si>
    <t xml:space="preserve">減醣飲食採買升級</t>
  </si>
  <si>
    <t xml:space="preserve">橄欖油與好食材都不便宜。</t>
  </si>
  <si>
    <t xml:space="preserve">LT_D013</t>
  </si>
  <si>
    <t xml:space="preserve">孩子的營養午餐費</t>
  </si>
  <si>
    <t xml:space="preserve">單子今天要交。</t>
  </si>
  <si>
    <t xml:space="preserve">LT_D014</t>
  </si>
  <si>
    <t xml:space="preserve">露營野炊食材</t>
  </si>
  <si>
    <t xml:space="preserve">戶外吃什麼都香，也什麼都貴。</t>
  </si>
  <si>
    <t xml:space="preserve">LT_D015</t>
  </si>
  <si>
    <t xml:space="preserve">家庭飲水機濾芯</t>
  </si>
  <si>
    <t xml:space="preserve">三個月一換，跳不掉。</t>
  </si>
  <si>
    <t xml:space="preserve">LT_D016</t>
  </si>
  <si>
    <t xml:space="preserve">消夜的小確幸</t>
  </si>
  <si>
    <t xml:space="preserve">加班晚歸，總想吃點什麼。</t>
  </si>
  <si>
    <t xml:space="preserve">LT_D017</t>
  </si>
  <si>
    <t xml:space="preserve">過敏兒的特殊食材</t>
  </si>
  <si>
    <t xml:space="preserve">無麩質、無奶蛋，選擇少又貴。</t>
  </si>
  <si>
    <t xml:space="preserve">LT_D018</t>
  </si>
  <si>
    <t xml:space="preserve">尾牙加碼買單</t>
  </si>
  <si>
    <t xml:space="preserve">氣氛到了，你舉了手。</t>
  </si>
  <si>
    <t xml:space="preserve">LT_D019</t>
  </si>
  <si>
    <t xml:space="preserve">換季添購</t>
  </si>
  <si>
    <t xml:space="preserve">去年的褲子好像縮水了。</t>
  </si>
  <si>
    <t xml:space="preserve">LT_D020</t>
  </si>
  <si>
    <t xml:space="preserve">喜宴正裝</t>
  </si>
  <si>
    <r>
      <rPr>
        <sz val="10"/>
        <rFont val="Noto Sans CJK SC"/>
        <family val="2"/>
      </rPr>
      <t xml:space="preserve">這種場合不能穿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恤。</t>
    </r>
  </si>
  <si>
    <t xml:space="preserve">LT_D021</t>
  </si>
  <si>
    <t xml:space="preserve">孩子的制服又要換</t>
  </si>
  <si>
    <t xml:space="preserve">一學期長高四公分。</t>
  </si>
  <si>
    <t xml:space="preserve">LT_D022</t>
  </si>
  <si>
    <t xml:space="preserve">運動鞋跑到開口笑</t>
  </si>
  <si>
    <t xml:space="preserve">該換一雙好的了。</t>
  </si>
  <si>
    <t xml:space="preserve">LT_D023</t>
  </si>
  <si>
    <t xml:space="preserve">面試的正式套裝</t>
  </si>
  <si>
    <t xml:space="preserve">第一印象值得投資。</t>
  </si>
  <si>
    <t xml:space="preserve">LT_D024</t>
  </si>
  <si>
    <t xml:space="preserve">冬天的保暖大衣</t>
  </si>
  <si>
    <t xml:space="preserve">寒流一波接一波。</t>
  </si>
  <si>
    <t xml:space="preserve">LT_D025</t>
  </si>
  <si>
    <t xml:space="preserve">名牌包的猶豫</t>
  </si>
  <si>
    <t xml:space="preserve">背了會開心，帳單會清醒。</t>
  </si>
  <si>
    <t xml:space="preserve">LT_D026</t>
  </si>
  <si>
    <t xml:space="preserve">孩子的才藝表演服</t>
  </si>
  <si>
    <t xml:space="preserve">只穿一次，也得買。</t>
  </si>
  <si>
    <t xml:space="preserve">LT_D027</t>
  </si>
  <si>
    <t xml:space="preserve">乾洗與修改費</t>
  </si>
  <si>
    <t xml:space="preserve">西裝總得好好照顧。</t>
  </si>
  <si>
    <t xml:space="preserve">LT_D028</t>
  </si>
  <si>
    <t xml:space="preserve">換季衣物收納</t>
  </si>
  <si>
    <t xml:space="preserve">真空袋與防塵套一批。</t>
  </si>
  <si>
    <t xml:space="preserve">LT_D029</t>
  </si>
  <si>
    <t xml:space="preserve">跟風的當季潮鞋</t>
  </si>
  <si>
    <t xml:space="preserve">限量款，手滑了。</t>
  </si>
  <si>
    <t xml:space="preserve">LT_D030</t>
  </si>
  <si>
    <t xml:space="preserve">上班族的通勤鞋</t>
  </si>
  <si>
    <t xml:space="preserve">走久了腳才知道貴的有理。</t>
  </si>
  <si>
    <t xml:space="preserve">LT_D031</t>
  </si>
  <si>
    <t xml:space="preserve">嬰幼兒衣物換季</t>
  </si>
  <si>
    <t xml:space="preserve">長太快，一季全汰換。</t>
  </si>
  <si>
    <t xml:space="preserve">LT_D032</t>
  </si>
  <si>
    <t xml:space="preserve">雨季的機能外套</t>
  </si>
  <si>
    <t xml:space="preserve">台北的雨，真的需要它。</t>
  </si>
  <si>
    <t xml:space="preserve">LT_D033</t>
  </si>
  <si>
    <t xml:space="preserve">熱水器壽終</t>
  </si>
  <si>
    <t xml:space="preserve">洗到一半變冷水。</t>
  </si>
  <si>
    <t xml:space="preserve">LT_D034</t>
  </si>
  <si>
    <t xml:space="preserve">頂樓防水重做</t>
  </si>
  <si>
    <t xml:space="preserve">雨季前不做，雨季後更貴。</t>
  </si>
  <si>
    <t xml:space="preserve">LT_D035</t>
  </si>
  <si>
    <t xml:space="preserve">搬家</t>
  </si>
  <si>
    <t xml:space="preserve">東西比想像中多很多。</t>
  </si>
  <si>
    <t xml:space="preserve">LT_D036</t>
  </si>
  <si>
    <t xml:space="preserve">冷氣定期保養</t>
  </si>
  <si>
    <t xml:space="preserve">洗完真的比較涼。</t>
  </si>
  <si>
    <t xml:space="preserve">LT_D037</t>
  </si>
  <si>
    <t xml:space="preserve">冰箱壓縮機故障</t>
  </si>
  <si>
    <t xml:space="preserve">修不如換的年紀了。</t>
  </si>
  <si>
    <t xml:space="preserve">LT_D038</t>
  </si>
  <si>
    <t xml:space="preserve">漏水抓漏工程</t>
  </si>
  <si>
    <t xml:space="preserve">找了三家才敢動工。</t>
  </si>
  <si>
    <t xml:space="preserve">LT_D039</t>
  </si>
  <si>
    <t xml:space="preserve">電梯要更新了。</t>
  </si>
  <si>
    <t xml:space="preserve">LT_D040</t>
  </si>
  <si>
    <t xml:space="preserve">除蟲與白蟻防治</t>
  </si>
  <si>
    <t xml:space="preserve">木地板底下有動靜。</t>
  </si>
  <si>
    <t xml:space="preserve">LT_D041</t>
  </si>
  <si>
    <t xml:space="preserve">窗簾與寢具換新</t>
  </si>
  <si>
    <t xml:space="preserve">住得舒服也是投資。</t>
  </si>
  <si>
    <t xml:space="preserve">LT_D042</t>
  </si>
  <si>
    <t xml:space="preserve">智慧家電升級</t>
  </si>
  <si>
    <t xml:space="preserve">掃地機器人真的回不去。</t>
  </si>
  <si>
    <t xml:space="preserve">LT_D043</t>
  </si>
  <si>
    <t xml:space="preserve">牆面重新粉刷</t>
  </si>
  <si>
    <t xml:space="preserve">住了五年，牆也累了。</t>
  </si>
  <si>
    <t xml:space="preserve">LT_D044</t>
  </si>
  <si>
    <t xml:space="preserve">房屋稅與地價稅</t>
  </si>
  <si>
    <t xml:space="preserve">一年一次的固定痛。</t>
  </si>
  <si>
    <t xml:space="preserve">LT_D045</t>
  </si>
  <si>
    <t xml:space="preserve">水電費夏季暴衝</t>
  </si>
  <si>
    <t xml:space="preserve">冷氣一開就知道。</t>
  </si>
  <si>
    <t xml:space="preserve">LT_D046</t>
  </si>
  <si>
    <t xml:space="preserve">門鎖升級電子鎖</t>
  </si>
  <si>
    <t xml:space="preserve">再也不用怕忘記帶鑰匙。</t>
  </si>
  <si>
    <t xml:space="preserve">LT_D047</t>
  </si>
  <si>
    <t xml:space="preserve">陽台防水與排水</t>
  </si>
  <si>
    <t xml:space="preserve">颱風季前的例行檢修。</t>
  </si>
  <si>
    <t xml:space="preserve">LT_D048</t>
  </si>
  <si>
    <t xml:space="preserve">老屋管線更新</t>
  </si>
  <si>
    <t xml:space="preserve">跳電跳到受不了。</t>
  </si>
  <si>
    <t xml:space="preserve">LT_D049</t>
  </si>
  <si>
    <t xml:space="preserve">租屋押金與仲介費</t>
  </si>
  <si>
    <t xml:space="preserve">搬一次家傷一次荷包。</t>
  </si>
  <si>
    <t xml:space="preserve">LT_D050</t>
  </si>
  <si>
    <t xml:space="preserve">家具汰舊換新</t>
  </si>
  <si>
    <t xml:space="preserve">那張沙發陪你太久了。</t>
  </si>
  <si>
    <t xml:space="preserve">LT_D051</t>
  </si>
  <si>
    <t xml:space="preserve">機車大保養</t>
  </si>
  <si>
    <t xml:space="preserve">該換的皮帶跟機油。</t>
  </si>
  <si>
    <t xml:space="preserve">LT_D052</t>
  </si>
  <si>
    <t xml:space="preserve">四條輪胎一起換</t>
  </si>
  <si>
    <t xml:space="preserve">溝深剩不到一半了。</t>
  </si>
  <si>
    <t xml:space="preserve">LT_D053</t>
  </si>
  <si>
    <t xml:space="preserve">油價又漲了</t>
  </si>
  <si>
    <t xml:space="preserve">通勤成本悄悄墊高。</t>
  </si>
  <si>
    <t xml:space="preserve">LT_D054</t>
  </si>
  <si>
    <t xml:space="preserve">連假國旅車票</t>
  </si>
  <si>
    <t xml:space="preserve">搶到票就是賺到。</t>
  </si>
  <si>
    <t xml:space="preserve">LT_D055</t>
  </si>
  <si>
    <t xml:space="preserve">汽車定期保養</t>
  </si>
  <si>
    <t xml:space="preserve">里程到了就得進廠。</t>
  </si>
  <si>
    <t xml:space="preserve">LT_D056</t>
  </si>
  <si>
    <t xml:space="preserve">停車月租調漲</t>
  </si>
  <si>
    <t xml:space="preserve">市區的位子越來越貴。</t>
  </si>
  <si>
    <t xml:space="preserve">LT_D057</t>
  </si>
  <si>
    <t xml:space="preserve">電動機車電池月租</t>
  </si>
  <si>
    <t xml:space="preserve">方便，但月月要繳。</t>
  </si>
  <si>
    <t xml:space="preserve">LT_D058</t>
  </si>
  <si>
    <t xml:space="preserve">高鐵回鄉車票</t>
  </si>
  <si>
    <t xml:space="preserve">過年一票難求。</t>
  </si>
  <si>
    <t xml:space="preserve">LT_D059</t>
  </si>
  <si>
    <t xml:space="preserve">汽車電瓶沒電</t>
  </si>
  <si>
    <t xml:space="preserve">發不動的早晨最崩潰。</t>
  </si>
  <si>
    <t xml:space="preserve">LT_D060</t>
  </si>
  <si>
    <t xml:space="preserve">違規停車罰單</t>
  </si>
  <si>
    <t xml:space="preserve">一時方便，一張單。</t>
  </si>
  <si>
    <t xml:space="preserve">LT_D061</t>
  </si>
  <si>
    <t xml:space="preserve">計程車救急</t>
  </si>
  <si>
    <t xml:space="preserve">下雨天加塞車的代價。</t>
  </si>
  <si>
    <t xml:space="preserve">LT_D062</t>
  </si>
  <si>
    <t xml:space="preserve">孩子的通學月票</t>
  </si>
  <si>
    <t xml:space="preserve">每天上下學的固定支出。</t>
  </si>
  <si>
    <t xml:space="preserve">LT_D063</t>
  </si>
  <si>
    <t xml:space="preserve">長途自駕的過路費</t>
  </si>
  <si>
    <t xml:space="preserve">一趟環島跑下來也不少。</t>
  </si>
  <si>
    <t xml:space="preserve">LT_D064</t>
  </si>
  <si>
    <t xml:space="preserve">機車汰舊換購</t>
  </si>
  <si>
    <t xml:space="preserve">老車驗不過了。</t>
  </si>
  <si>
    <t xml:space="preserve">LT_D065</t>
  </si>
  <si>
    <t xml:space="preserve">共享單車年費</t>
  </si>
  <si>
    <t xml:space="preserve">短程通勤划算又健康。</t>
  </si>
  <si>
    <t xml:space="preserve">LT_D066</t>
  </si>
  <si>
    <t xml:space="preserve">車輛驗車與牌照稅</t>
  </si>
  <si>
    <t xml:space="preserve">一年一度的例行。</t>
  </si>
  <si>
    <t xml:space="preserve">LT_D067</t>
  </si>
  <si>
    <t xml:space="preserve">家庭電影日</t>
  </si>
  <si>
    <t xml:space="preserve">爆米花比電影票貴。</t>
  </si>
  <si>
    <t xml:space="preserve">LT_D068</t>
  </si>
  <si>
    <t xml:space="preserve">演唱會門票</t>
  </si>
  <si>
    <t xml:space="preserve">手速決定人生。</t>
  </si>
  <si>
    <t xml:space="preserve">LT_D069</t>
  </si>
  <si>
    <t xml:space="preserve">孩子的校外教學費</t>
  </si>
  <si>
    <t xml:space="preserve">LT_D070</t>
  </si>
  <si>
    <t xml:space="preserve">串流平台一堆</t>
  </si>
  <si>
    <t xml:space="preserve">算一算訂了五個。</t>
  </si>
  <si>
    <t xml:space="preserve">LT_D071</t>
  </si>
  <si>
    <t xml:space="preserve">健身房年費</t>
  </si>
  <si>
    <t xml:space="preserve">辦了卡，去了三次。</t>
  </si>
  <si>
    <t xml:space="preserve">LT_D072</t>
  </si>
  <si>
    <t xml:space="preserve">家庭旅遊住宿</t>
  </si>
  <si>
    <t xml:space="preserve">連假房價翻倍也得訂。</t>
  </si>
  <si>
    <t xml:space="preserve">LT_D073</t>
  </si>
  <si>
    <t xml:space="preserve">遊戲主機新片</t>
  </si>
  <si>
    <t xml:space="preserve">首發價總是最貴。</t>
  </si>
  <si>
    <t xml:space="preserve">LT_D074</t>
  </si>
  <si>
    <t xml:space="preserve">展覽與親子活動</t>
  </si>
  <si>
    <t xml:space="preserve">週末總得帶孩子出門放電。</t>
  </si>
  <si>
    <t xml:space="preserve">LT_D075</t>
  </si>
  <si>
    <t xml:space="preserve">攝影器材的坑</t>
  </si>
  <si>
    <t xml:space="preserve">鏡頭永遠差一顆。</t>
  </si>
  <si>
    <t xml:space="preserve">LT_D076</t>
  </si>
  <si>
    <t xml:space="preserve">線上課程進修</t>
  </si>
  <si>
    <t xml:space="preserve">投資自己，但也要花錢。</t>
  </si>
  <si>
    <t xml:space="preserve">LT_D077</t>
  </si>
  <si>
    <t xml:space="preserve">寵物的醫療與飼料</t>
  </si>
  <si>
    <t xml:space="preserve">毛小孩也是家人。</t>
  </si>
  <si>
    <t xml:space="preserve">LT_D078</t>
  </si>
  <si>
    <t xml:space="preserve">生日派對籌備</t>
  </si>
  <si>
    <t xml:space="preserve">孩子一年一次的期待。</t>
  </si>
  <si>
    <t xml:space="preserve">LT_D079</t>
  </si>
  <si>
    <t xml:space="preserve">路跑報名與裝備</t>
  </si>
  <si>
    <t xml:space="preserve">為了那面完賽獎牌。</t>
  </si>
  <si>
    <t xml:space="preserve">LT_D080</t>
  </si>
  <si>
    <t xml:space="preserve">家庭遊樂園一日遊</t>
  </si>
  <si>
    <t xml:space="preserve">門票餐飲停車一次噴。</t>
  </si>
  <si>
    <t xml:space="preserve">LT_D081</t>
  </si>
  <si>
    <t xml:space="preserve">訂閱制知識付費</t>
  </si>
  <si>
    <t xml:space="preserve">焦慮買單，看沒幾集。</t>
  </si>
  <si>
    <t xml:space="preserve">LT_D082</t>
  </si>
  <si>
    <t xml:space="preserve">露營裝備採購</t>
  </si>
  <si>
    <t xml:space="preserve">入坑後就回不去了。</t>
  </si>
  <si>
    <t xml:space="preserve">LT_D083</t>
  </si>
  <si>
    <t xml:space="preserve">才藝成果發表花費</t>
  </si>
  <si>
    <t xml:space="preserve">服裝道具加場地。</t>
  </si>
  <si>
    <t xml:space="preserve">LT_D084</t>
  </si>
  <si>
    <t xml:space="preserve">追星應援集資</t>
  </si>
  <si>
    <t xml:space="preserve">理智與熱情的拉鋸。</t>
  </si>
  <si>
    <t xml:space="preserve">LT_D085</t>
  </si>
  <si>
    <t xml:space="preserve">年節伴手禮</t>
  </si>
  <si>
    <t xml:space="preserve">每一家都要準備一份。</t>
  </si>
  <si>
    <t xml:space="preserve">LT_D086</t>
  </si>
  <si>
    <t xml:space="preserve">家族聚餐輪你作東</t>
  </si>
  <si>
    <t xml:space="preserve">三桌，長輩坐主位。</t>
  </si>
  <si>
    <t xml:space="preserve">LT_D087</t>
  </si>
  <si>
    <t xml:space="preserve">父母的醫療自費項目</t>
  </si>
  <si>
    <t xml:space="preserve">健保不給付的那些。</t>
  </si>
  <si>
    <t xml:space="preserve">LT_D088</t>
  </si>
  <si>
    <t xml:space="preserve">長輩生日祝壽</t>
  </si>
  <si>
    <t xml:space="preserve">儀式感不能少。</t>
  </si>
  <si>
    <t xml:space="preserve">LT_D089</t>
  </si>
  <si>
    <t xml:space="preserve">家中喪葬與白包</t>
  </si>
  <si>
    <t xml:space="preserve">人情義理的往來。</t>
  </si>
  <si>
    <t xml:space="preserve">LT_D090</t>
  </si>
  <si>
    <t xml:space="preserve">晚輩的紅包與註冊費</t>
  </si>
  <si>
    <t xml:space="preserve">做長輩的心意。</t>
  </si>
  <si>
    <t xml:space="preserve">LT_D091</t>
  </si>
  <si>
    <t xml:space="preserve">父母的照護耗材</t>
  </si>
  <si>
    <t xml:space="preserve">尿布、營養品、輔具。</t>
  </si>
  <si>
    <t xml:space="preserve">LT_D092</t>
  </si>
  <si>
    <t xml:space="preserve">祖厝的修繕分攤</t>
  </si>
  <si>
    <t xml:space="preserve">老家的事，大家一起扛。</t>
  </si>
  <si>
    <t xml:space="preserve">LT_D093</t>
  </si>
  <si>
    <t xml:space="preserve">逢年過節的孝親金</t>
  </si>
  <si>
    <t xml:space="preserve">包給爸媽的那份。</t>
  </si>
  <si>
    <t xml:space="preserve">LT_D094</t>
  </si>
  <si>
    <t xml:space="preserve">家族旅遊的分攤</t>
  </si>
  <si>
    <t xml:space="preserve">帶著長輩一起走走。</t>
  </si>
  <si>
    <t xml:space="preserve">LT_D095</t>
  </si>
  <si>
    <t xml:space="preserve">父母的手機與網路費</t>
  </si>
  <si>
    <t xml:space="preserve">替他們繳了也不提。</t>
  </si>
  <si>
    <t xml:space="preserve">LT_D096</t>
  </si>
  <si>
    <t xml:space="preserve">結婚禮金的旺季</t>
  </si>
  <si>
    <t xml:space="preserve">一個月來了三張帖。</t>
  </si>
  <si>
    <t xml:space="preserve">LT_D097</t>
  </si>
  <si>
    <t xml:space="preserve">長輩的計程車與代步</t>
  </si>
  <si>
    <t xml:space="preserve">行動不便後的日常。</t>
  </si>
  <si>
    <t xml:space="preserve">LT_D098</t>
  </si>
  <si>
    <t xml:space="preserve">家庭保險的續期</t>
  </si>
  <si>
    <t xml:space="preserve">一家人的保障不能斷。</t>
  </si>
  <si>
    <t xml:space="preserve">LT_D099</t>
  </si>
  <si>
    <t xml:space="preserve">中秋烤肉團</t>
  </si>
  <si>
    <t xml:space="preserve">一家烤肉萬家香，也萬家花錢。</t>
  </si>
  <si>
    <t xml:space="preserve">LT_D100</t>
  </si>
  <si>
    <t xml:space="preserve">端午粽子禮盒</t>
  </si>
  <si>
    <t xml:space="preserve">南部粽北部粽都想吃。</t>
  </si>
  <si>
    <t xml:space="preserve">LT_D101</t>
  </si>
  <si>
    <t xml:space="preserve">公司福委聚餐分攤</t>
  </si>
  <si>
    <t xml:space="preserve">說是自由參加，其實很難不去。</t>
  </si>
  <si>
    <t xml:space="preserve">LT_D102</t>
  </si>
  <si>
    <t xml:space="preserve">新開的火鍋吃到飽</t>
  </si>
  <si>
    <t xml:space="preserve">揪團衝一波。</t>
  </si>
  <si>
    <t xml:space="preserve">LT_D103</t>
  </si>
  <si>
    <t xml:space="preserve">孩子的手搖飲零用</t>
  </si>
  <si>
    <t xml:space="preserve">放學一杯，積少成多。</t>
  </si>
  <si>
    <t xml:space="preserve">LT_D104</t>
  </si>
  <si>
    <t xml:space="preserve">健康氣炸鍋入手</t>
  </si>
  <si>
    <t xml:space="preserve">炸物罪惡感少一點。</t>
  </si>
  <si>
    <t xml:space="preserve">LT_D105</t>
  </si>
  <si>
    <t xml:space="preserve">訂閱制生鮮箱</t>
  </si>
  <si>
    <t xml:space="preserve">每週一箱，方便但不便宜。</t>
  </si>
  <si>
    <t xml:space="preserve">LT_D106</t>
  </si>
  <si>
    <t xml:space="preserve">過年圍爐加菜金</t>
  </si>
  <si>
    <t xml:space="preserve">長輩說難得團圓。</t>
  </si>
  <si>
    <t xml:space="preserve">LT_D107</t>
  </si>
  <si>
    <t xml:space="preserve">冬至湯圓與補品</t>
  </si>
  <si>
    <t xml:space="preserve">進補的季節到了。</t>
  </si>
  <si>
    <t xml:space="preserve">LT_D108</t>
  </si>
  <si>
    <t xml:space="preserve">咖啡機與豆子</t>
  </si>
  <si>
    <t xml:space="preserve">在家煮，長期比外買省。</t>
  </si>
  <si>
    <t xml:space="preserve">LT_D109</t>
  </si>
  <si>
    <t xml:space="preserve">小孩鞋子又太小</t>
  </si>
  <si>
    <t xml:space="preserve">三個月換一雙。</t>
  </si>
  <si>
    <t xml:space="preserve">LT_D110</t>
  </si>
  <si>
    <t xml:space="preserve">職場的季度添裝</t>
  </si>
  <si>
    <t xml:space="preserve">體面也是專業的一部分。</t>
  </si>
  <si>
    <t xml:space="preserve">LT_D111</t>
  </si>
  <si>
    <t xml:space="preserve">運動機能服採購</t>
  </si>
  <si>
    <t xml:space="preserve">開始跑步後裝備接連買。</t>
  </si>
  <si>
    <t xml:space="preserve">LT_D112</t>
  </si>
  <si>
    <t xml:space="preserve">過年新衣傳統</t>
  </si>
  <si>
    <t xml:space="preserve">一人一套討吉利。</t>
  </si>
  <si>
    <t xml:space="preserve">LT_D113</t>
  </si>
  <si>
    <t xml:space="preserve">西裝修改與換季</t>
  </si>
  <si>
    <t xml:space="preserve">身材變了，衣服得改。</t>
  </si>
  <si>
    <t xml:space="preserve">LT_D114</t>
  </si>
  <si>
    <t xml:space="preserve">嬰兒推車與揹巾</t>
  </si>
  <si>
    <t xml:space="preserve">帶小孩的必要裝備。</t>
  </si>
  <si>
    <t xml:space="preserve">LT_D115</t>
  </si>
  <si>
    <t xml:space="preserve">登山裝備入門</t>
  </si>
  <si>
    <t xml:space="preserve">防水外套與登山鞋一次購足。</t>
  </si>
  <si>
    <t xml:space="preserve">LT_D116</t>
  </si>
  <si>
    <t xml:space="preserve">飾品與手錶的犒賞</t>
  </si>
  <si>
    <t xml:space="preserve">對自己好一點。</t>
  </si>
  <si>
    <t xml:space="preserve">LT_D117</t>
  </si>
  <si>
    <t xml:space="preserve">抽油煙機故障</t>
  </si>
  <si>
    <t xml:space="preserve">油煙倒灌整間廚房。</t>
  </si>
  <si>
    <t xml:space="preserve">LT_D118</t>
  </si>
  <si>
    <t xml:space="preserve">馬桶與水管阻塞</t>
  </si>
  <si>
    <t xml:space="preserve">半夜還得叫水電。</t>
  </si>
  <si>
    <t xml:space="preserve">LT_D119</t>
  </si>
  <si>
    <t xml:space="preserve">窗戶氣密與隔熱</t>
  </si>
  <si>
    <t xml:space="preserve">夏天電費有感下降。</t>
  </si>
  <si>
    <t xml:space="preserve">LT_D120</t>
  </si>
  <si>
    <t xml:space="preserve">社區公設修繕特別分攤</t>
  </si>
  <si>
    <t xml:space="preserve">電梯大修，每戶都要出。</t>
  </si>
  <si>
    <t xml:space="preserve">LT_D121</t>
  </si>
  <si>
    <t xml:space="preserve">家用網路升級光纖</t>
  </si>
  <si>
    <t xml:space="preserve">在家工作的剛需。</t>
  </si>
  <si>
    <t xml:space="preserve">LT_D122</t>
  </si>
  <si>
    <t xml:space="preserve">除濕機與空氣清淨機</t>
  </si>
  <si>
    <t xml:space="preserve">梅雨季的生存工具。</t>
  </si>
  <si>
    <t xml:space="preserve">LT_D123</t>
  </si>
  <si>
    <t xml:space="preserve">陽台外推修復</t>
  </si>
  <si>
    <t xml:space="preserve">颱風後才發現漏。</t>
  </si>
  <si>
    <t xml:space="preserve">LT_D124</t>
  </si>
  <si>
    <t xml:space="preserve">智慧門鈴與監視器</t>
  </si>
  <si>
    <t xml:space="preserve">出門在外看得到家。</t>
  </si>
  <si>
    <t xml:space="preserve">LT_D125</t>
  </si>
  <si>
    <t xml:space="preserve">地板重鋪</t>
  </si>
  <si>
    <t xml:space="preserve">舊木地板翹起來了。</t>
  </si>
  <si>
    <t xml:space="preserve">LT_D126</t>
  </si>
  <si>
    <t xml:space="preserve">太陽能熱水器</t>
  </si>
  <si>
    <t xml:space="preserve">初期投資，長期省瓦斯。</t>
  </si>
  <si>
    <t xml:space="preserve">LT_D127</t>
  </si>
  <si>
    <t xml:space="preserve">車庫鐵捲門維修</t>
  </si>
  <si>
    <t xml:space="preserve">卡在半空中上不去。</t>
  </si>
  <si>
    <t xml:space="preserve">LT_D128</t>
  </si>
  <si>
    <t xml:space="preserve">汽車冷氣不冷</t>
  </si>
  <si>
    <t xml:space="preserve">夏天沒冷氣像蒸籠。</t>
  </si>
  <si>
    <t xml:space="preserve">LT_D129</t>
  </si>
  <si>
    <t xml:space="preserve">機車雨天打滑擦傷</t>
  </si>
  <si>
    <t xml:space="preserve">小傷小修，荷包還是痛。</t>
  </si>
  <si>
    <t xml:space="preserve">LT_D130</t>
  </si>
  <si>
    <t xml:space="preserve">國道電子收費儲值</t>
  </si>
  <si>
    <t xml:space="preserve">跑長途一下就見底。</t>
  </si>
  <si>
    <t xml:space="preserve">LT_D131</t>
  </si>
  <si>
    <t xml:space="preserve">單車進廠保養</t>
  </si>
  <si>
    <t xml:space="preserve">變速卡卡的該調了。</t>
  </si>
  <si>
    <t xml:space="preserve">LT_D132</t>
  </si>
  <si>
    <t xml:space="preserve">計程車尖峰加成</t>
  </si>
  <si>
    <t xml:space="preserve">趕時間只能認了。</t>
  </si>
  <si>
    <t xml:space="preserve">LT_D133</t>
  </si>
  <si>
    <t xml:space="preserve">孩子的安全座椅升級</t>
  </si>
  <si>
    <t xml:space="preserve">長大了要換大的。</t>
  </si>
  <si>
    <t xml:space="preserve">LT_D134</t>
  </si>
  <si>
    <t xml:space="preserve">汽車保險桿板金</t>
  </si>
  <si>
    <t xml:space="preserve">停車小擦撞。</t>
  </si>
  <si>
    <t xml:space="preserve">LT_D135</t>
  </si>
  <si>
    <t xml:space="preserve">長輩共乘的油錢分攤</t>
  </si>
  <si>
    <t xml:space="preserve">載爸媽出遊也是心意。</t>
  </si>
  <si>
    <t xml:space="preserve">LT_D136</t>
  </si>
  <si>
    <t xml:space="preserve">電動車充電樁安裝</t>
  </si>
  <si>
    <t xml:space="preserve">家裡要拉專用電。</t>
  </si>
  <si>
    <t xml:space="preserve">LT_D137</t>
  </si>
  <si>
    <t xml:space="preserve">過年返鄉的油錢過路費</t>
  </si>
  <si>
    <t xml:space="preserve">南來北往一趟不少。</t>
  </si>
  <si>
    <t xml:space="preserve">LT_D138</t>
  </si>
  <si>
    <t xml:space="preserve">孩子的暑期夏令營</t>
  </si>
  <si>
    <t xml:space="preserve">放電又學東西，但要花錢。</t>
  </si>
  <si>
    <t xml:space="preserve">LT_D139</t>
  </si>
  <si>
    <t xml:space="preserve">家庭桌遊採購</t>
  </si>
  <si>
    <t xml:space="preserve">週末夜的親子時光。</t>
  </si>
  <si>
    <t xml:space="preserve">LT_D140</t>
  </si>
  <si>
    <t xml:space="preserve">線上健身課程訂閱</t>
  </si>
  <si>
    <t xml:space="preserve">在家也能練。</t>
  </si>
  <si>
    <t xml:space="preserve">LT_D141</t>
  </si>
  <si>
    <t xml:space="preserve">音樂串流家庭方案</t>
  </si>
  <si>
    <t xml:space="preserve">全家共用一個帳號。</t>
  </si>
  <si>
    <t xml:space="preserve">LT_D142</t>
  </si>
  <si>
    <t xml:space="preserve">跨年連假小旅行</t>
  </si>
  <si>
    <t xml:space="preserve">訂房要趁早，價格也漂亮。</t>
  </si>
  <si>
    <t xml:space="preserve">LT_D143</t>
  </si>
  <si>
    <t xml:space="preserve">相機租借與旅拍</t>
  </si>
  <si>
    <t xml:space="preserve">出國前的準備。</t>
  </si>
  <si>
    <t xml:space="preserve">LT_D144</t>
  </si>
  <si>
    <t xml:space="preserve">孩子的樂器維護</t>
  </si>
  <si>
    <t xml:space="preserve">小提琴換弦與保養。</t>
  </si>
  <si>
    <t xml:space="preserve">LT_D145</t>
  </si>
  <si>
    <t xml:space="preserve">職業球賽門票</t>
  </si>
  <si>
    <t xml:space="preserve">現場氣氛無可取代。</t>
  </si>
  <si>
    <t xml:space="preserve">LT_D146</t>
  </si>
  <si>
    <t xml:space="preserve">登山嚮導與入園費</t>
  </si>
  <si>
    <t xml:space="preserve">百岳行前的必要花費。</t>
  </si>
  <si>
    <t xml:space="preserve">LT_D147</t>
  </si>
  <si>
    <t xml:space="preserve">攝影後製軟體年費</t>
  </si>
  <si>
    <t xml:space="preserve">修圖的工具也要錢。</t>
  </si>
  <si>
    <t xml:space="preserve">LT_D148</t>
  </si>
  <si>
    <t xml:space="preserve">陪長輩的溫泉小旅行</t>
  </si>
  <si>
    <t xml:space="preserve">泡湯養生兩相宜。</t>
  </si>
  <si>
    <t xml:space="preserve">LT_D149</t>
  </si>
  <si>
    <t xml:space="preserve">孩子的繪本與課外書</t>
  </si>
  <si>
    <t xml:space="preserve">閱讀的投資最划算。</t>
  </si>
  <si>
    <t xml:space="preserve">LT_D150</t>
  </si>
  <si>
    <t xml:space="preserve">父母的假牙與配鏡</t>
  </si>
  <si>
    <t xml:space="preserve">上了年紀的必要支出。</t>
  </si>
  <si>
    <t xml:space="preserve">LT_D151</t>
  </si>
  <si>
    <t xml:space="preserve">長輩的助聽器</t>
  </si>
  <si>
    <t xml:space="preserve">聽得清楚，話才聊得下去。</t>
  </si>
  <si>
    <t xml:space="preserve">LT_D152</t>
  </si>
  <si>
    <t xml:space="preserve">家族掃墓與祭祖</t>
  </si>
  <si>
    <t xml:space="preserve">慎終追遠的年度支出。</t>
  </si>
  <si>
    <t xml:space="preserve">LT_D153</t>
  </si>
  <si>
    <t xml:space="preserve">替父母換部好走的鞋</t>
  </si>
  <si>
    <t xml:space="preserve">跌倒最傷，鞋子要挑。</t>
  </si>
  <si>
    <t xml:space="preserve">LT_D154</t>
  </si>
  <si>
    <t xml:space="preserve">長輩的營養補充品</t>
  </si>
  <si>
    <t xml:space="preserve">醫師建議的那幾樣。</t>
  </si>
  <si>
    <t xml:space="preserve">LT_D155</t>
  </si>
  <si>
    <t xml:space="preserve">兄弟姊妹的分攤協調</t>
  </si>
  <si>
    <t xml:space="preserve">照顧的錢，大家講清楚。</t>
  </si>
  <si>
    <t xml:space="preserve">LT_D156</t>
  </si>
  <si>
    <t xml:space="preserve">父母的旅遊平安險</t>
  </si>
  <si>
    <t xml:space="preserve">出遊前先保起來。</t>
  </si>
  <si>
    <t xml:space="preserve">LT_D157</t>
  </si>
  <si>
    <t xml:space="preserve">老家的第四台與網路</t>
  </si>
  <si>
    <t xml:space="preserve">陪他們跟世界連著。</t>
  </si>
  <si>
    <t xml:space="preserve">LT_D158</t>
  </si>
  <si>
    <t xml:space="preserve">家族群組的年節紅包</t>
  </si>
  <si>
    <t xml:space="preserve">長輩帶頭發，你也得跟。</t>
  </si>
  <si>
    <t xml:space="preserve">LT_D159</t>
  </si>
  <si>
    <t xml:space="preserve">孩子的生日蛋糕</t>
  </si>
  <si>
    <t xml:space="preserve">一年一次的儀式感。</t>
  </si>
  <si>
    <t xml:space="preserve">LT_D160</t>
  </si>
  <si>
    <t xml:space="preserve">梅雨季的除濕防霉</t>
  </si>
  <si>
    <t xml:space="preserve">衣櫃長霉了得處理。</t>
  </si>
  <si>
    <t xml:space="preserve">LT_D161</t>
  </si>
  <si>
    <t xml:space="preserve">門窗紗網更換</t>
  </si>
  <si>
    <t xml:space="preserve">蚊子季前的例行。</t>
  </si>
  <si>
    <t xml:space="preserve">LT_D162</t>
  </si>
  <si>
    <t xml:space="preserve">停車場月租押金</t>
  </si>
  <si>
    <t xml:space="preserve">換工作換停車場。</t>
  </si>
  <si>
    <t xml:space="preserve">LT_D163</t>
  </si>
  <si>
    <t xml:space="preserve">社區才藝班報名</t>
  </si>
  <si>
    <t xml:space="preserve">孩子想學畫畫。</t>
  </si>
  <si>
    <t xml:space="preserve">LT_D164</t>
  </si>
  <si>
    <t xml:space="preserve">長輩的復健課程</t>
  </si>
  <si>
    <t xml:space="preserve">出院後的必要花費。</t>
  </si>
  <si>
    <t xml:space="preserve">LT_D165</t>
  </si>
  <si>
    <t xml:space="preserve">團購的冷凍海鮮</t>
  </si>
  <si>
    <t xml:space="preserve">一次囤一整箱。</t>
  </si>
  <si>
    <t xml:space="preserve">LT_D166</t>
  </si>
  <si>
    <t xml:space="preserve">家庭年度大掃除外包</t>
  </si>
  <si>
    <t xml:space="preserve">年末請人幫忙。</t>
  </si>
  <si>
    <t xml:space="preserve">LT_C081</t>
  </si>
  <si>
    <t xml:space="preserve">治裝費獨立記帳月</t>
  </si>
  <si>
    <t xml:space="preserve">把這個月每一筆衣物支出都記下來。</t>
  </si>
  <si>
    <r>
      <rPr>
        <sz val="10"/>
        <rFont val="Noto Sans CJK SC"/>
        <family val="2"/>
      </rPr>
      <t xml:space="preserve">看見數字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是控制數字的第一步。</t>
    </r>
  </si>
  <si>
    <t xml:space="preserve">LT_C082</t>
  </si>
  <si>
    <t xml:space="preserve">購物車過夜練習</t>
  </si>
  <si>
    <r>
      <rPr>
        <sz val="10"/>
        <rFont val="Noto Sans CJK SC"/>
        <family val="2"/>
      </rPr>
      <t xml:space="preserve">加入購物車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睡一覺再決定。</t>
    </r>
  </si>
  <si>
    <r>
      <rPr>
        <sz val="10"/>
        <rFont val="Noto Sans CJK SC"/>
        <family val="2"/>
      </rPr>
      <t xml:space="preserve">衝動的保鮮期通常不到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小時。</t>
    </r>
  </si>
  <si>
    <t xml:space="preserve">LT_C083</t>
  </si>
  <si>
    <t xml:space="preserve">帶孩子挑二手衣</t>
  </si>
  <si>
    <t xml:space="preserve">舊衣店裡教孩子分「需要」和「想要」。</t>
  </si>
  <si>
    <r>
      <rPr>
        <sz val="10"/>
        <rFont val="Noto Sans CJK SC"/>
        <family val="2"/>
      </rPr>
      <t xml:space="preserve">金錢教育最好的教室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是結帳前的那三分鐘。</t>
    </r>
  </si>
  <si>
    <t xml:space="preserve">LT_C084</t>
  </si>
  <si>
    <t xml:space="preserve">陪媽媽逛市場買衣</t>
  </si>
  <si>
    <r>
      <rPr>
        <sz val="10"/>
        <rFont val="Noto Sans CJK SC"/>
        <family val="2"/>
      </rPr>
      <t xml:space="preserve">她嫌貴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你偷偷把標籤撕掉。</t>
    </r>
  </si>
  <si>
    <r>
      <rPr>
        <sz val="10"/>
        <rFont val="Noto Sans CJK SC"/>
        <family val="2"/>
      </rPr>
      <t xml:space="preserve">陪伴本身就是禮物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衣服只是藉口。</t>
    </r>
  </si>
  <si>
    <t xml:space="preserve">LT_C085</t>
  </si>
  <si>
    <t xml:space="preserve">膠囊衣櫥挑戰</t>
  </si>
  <si>
    <t xml:space="preserve">三十件單品過一季。</t>
  </si>
  <si>
    <r>
      <rPr>
        <sz val="10"/>
        <rFont val="Noto Sans CJK SC"/>
        <family val="2"/>
      </rPr>
      <t xml:space="preserve">選項變少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決定變快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錢包變厚。</t>
    </r>
  </si>
  <si>
    <t xml:space="preserve">LT_C086</t>
  </si>
  <si>
    <t xml:space="preserve">舊衣改造手作課</t>
  </si>
  <si>
    <t xml:space="preserve">把三件舊襯衫改成一件新的。</t>
  </si>
  <si>
    <r>
      <rPr>
        <sz val="10"/>
        <rFont val="Noto Sans CJK SC"/>
        <family val="2"/>
      </rPr>
      <t xml:space="preserve">動手做過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就捨不得亂買了。</t>
    </r>
  </si>
  <si>
    <t xml:space="preserve">LT_C087</t>
  </si>
  <si>
    <t xml:space="preserve">學會看洗標保養衣物</t>
  </si>
  <si>
    <r>
      <rPr>
        <sz val="10"/>
        <rFont val="Noto Sans CJK SC"/>
        <family val="2"/>
      </rPr>
      <t xml:space="preserve">分類洗、反面曬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衣服多穿三年。</t>
    </r>
  </si>
  <si>
    <t xml:space="preserve">保養是最便宜的「再購買折扣」。</t>
  </si>
  <si>
    <t xml:space="preserve">LT_C088</t>
  </si>
  <si>
    <t xml:space="preserve">和孩子一起整理舊衣捐贈</t>
  </si>
  <si>
    <r>
      <rPr>
        <sz val="10"/>
        <rFont val="Noto Sans CJK SC"/>
        <family val="2"/>
      </rPr>
      <t xml:space="preserve">小了的衣服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讓它去需要的地方。</t>
    </r>
  </si>
  <si>
    <r>
      <rPr>
        <sz val="10"/>
        <rFont val="Noto Sans CJK SC"/>
        <family val="2"/>
      </rPr>
      <t xml:space="preserve">給予的習慣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比任何理財課都早該開始。</t>
    </r>
  </si>
  <si>
    <t xml:space="preserve">LT_C089</t>
  </si>
  <si>
    <t xml:space="preserve">替爸爸訂做一套西裝</t>
  </si>
  <si>
    <r>
      <rPr>
        <sz val="10"/>
        <rFont val="Noto Sans CJK SC"/>
        <family val="2"/>
      </rPr>
      <t xml:space="preserve">他說不用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但試穿時腰桿挺得特別直。</t>
    </r>
  </si>
  <si>
    <r>
      <rPr>
        <sz val="10"/>
        <rFont val="Noto Sans CJK SC"/>
        <family val="2"/>
      </rPr>
      <t xml:space="preserve">有些錢花下去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回報記在感情帳上。</t>
    </r>
  </si>
  <si>
    <t xml:space="preserve">LT_C090</t>
  </si>
  <si>
    <r>
      <rPr>
        <sz val="10"/>
        <rFont val="Noto Sans CJK SC"/>
        <family val="2"/>
      </rPr>
      <t xml:space="preserve">關掉購物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通知</t>
    </r>
  </si>
  <si>
    <t xml:space="preserve">限時特賣再也追不到你。</t>
  </si>
  <si>
    <r>
      <rPr>
        <sz val="10"/>
        <rFont val="Noto Sans CJK SC"/>
        <family val="2"/>
      </rPr>
      <t xml:space="preserve">不看見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就不想要——環境比意志力可靠。</t>
    </r>
  </si>
  <si>
    <t xml:space="preserve">LT_C091</t>
  </si>
  <si>
    <t xml:space="preserve">治裝季度預算制</t>
  </si>
  <si>
    <r>
      <rPr>
        <sz val="10"/>
        <rFont val="Noto Sans CJK SC"/>
        <family val="2"/>
      </rPr>
      <t xml:space="preserve">每季一個信封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花完就等下一季。</t>
    </r>
  </si>
  <si>
    <r>
      <rPr>
        <sz val="10"/>
        <rFont val="Noto Sans CJK SC"/>
        <family val="2"/>
      </rPr>
      <t xml:space="preserve">預算不是限制自由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是把自由排進計畫。</t>
    </r>
  </si>
  <si>
    <t xml:space="preserve">LT_T057</t>
  </si>
  <si>
    <t xml:space="preserve">直播間的限量球鞋</t>
  </si>
  <si>
    <r>
      <rPr>
        <sz val="10"/>
        <rFont val="Noto Sans CJK SC"/>
        <family val="2"/>
      </rPr>
      <t xml:space="preserve">主播喊「最後三雙」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倒數計時開始。</t>
    </r>
  </si>
  <si>
    <r>
      <rPr>
        <sz val="10"/>
        <rFont val="Noto Sans CJK SC"/>
        <family val="2"/>
      </rPr>
      <t xml:space="preserve">限量是他們的行銷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不是你的機會。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</si>
  <si>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：你查了轉售行情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發現根本沒溢價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關掉直播。｜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：你搶了兩雙想轉賣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掛了三個月乏人問津。｜現金 </t>
    </r>
    <r>
      <rPr>
        <sz val="10"/>
        <rFont val="Arial"/>
        <family val="0"/>
        <charset val="1"/>
      </rPr>
      <t xml:space="preserve">-46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自己（直播間的限量球鞋）</t>
    </r>
  </si>
  <si>
    <t xml:space="preserve">LT_T058</t>
  </si>
  <si>
    <t xml:space="preserve">週年慶滿千送百</t>
  </si>
  <si>
    <r>
      <rPr>
        <sz val="10"/>
        <rFont val="Noto Sans CJK SC"/>
        <family val="2"/>
      </rPr>
      <t xml:space="preserve">滿額禮加碼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湊單湊到停不下來。</t>
    </r>
  </si>
  <si>
    <t xml:space="preserve">「省到」的前提是你本來就要買。</t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</si>
  <si>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：你只買了清單上的兩件就離場。｜現金 </t>
    </r>
    <r>
      <rPr>
        <sz val="10"/>
        <rFont val="Arial"/>
        <family val="0"/>
        <charset val="1"/>
      </rPr>
      <t xml:space="preserve">-10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自己（週年慶滿千送百）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：為了滿額一路加購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刷出三倍預算。｜現金 </t>
    </r>
    <r>
      <rPr>
        <sz val="10"/>
        <rFont val="Arial"/>
        <family val="0"/>
        <charset val="1"/>
      </rPr>
      <t xml:space="preserve">-52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自己（週年慶滿千送百）</t>
    </r>
  </si>
  <si>
    <t xml:space="preserve">LT_T059</t>
  </si>
  <si>
    <t xml:space="preserve">名牌包「保值」話術</t>
  </si>
  <si>
    <r>
      <rPr>
        <sz val="10"/>
        <rFont val="Noto Sans CJK SC"/>
        <family val="2"/>
      </rPr>
      <t xml:space="preserve">櫃姐說這咖只漲不跌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比定存好。</t>
    </r>
  </si>
  <si>
    <r>
      <rPr>
        <sz val="10"/>
        <rFont val="Noto Sans CJK SC"/>
        <family val="2"/>
      </rPr>
      <t xml:space="preserve">會漲的是熱門款拍賣價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不是你手上這咖的回收價。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</si>
  <si>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PRUDENCE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：你回家查了二手行情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笑著沒買。｜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：你當投資買下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轉賣時先打七折。｜現金 </t>
    </r>
    <r>
      <rPr>
        <sz val="10"/>
        <rFont val="Arial"/>
        <family val="0"/>
        <charset val="1"/>
      </rPr>
      <t xml:space="preserve">-85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自己（名牌包「保值」話術）</t>
    </r>
  </si>
  <si>
    <t xml:space="preserve">LT_T060</t>
  </si>
  <si>
    <t xml:space="preserve">網購尺寸不合</t>
  </si>
  <si>
    <t xml:space="preserve">退貨要印單、包裝、跑超商。</t>
  </si>
  <si>
    <r>
      <rPr>
        <sz val="10"/>
        <rFont val="Noto Sans CJK SC"/>
        <family val="2"/>
      </rPr>
      <t xml:space="preserve">嫌麻煩的成本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最後都變成衣櫃裡的沉沒成本。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</si>
  <si>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TEMPER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：你乖乖走完退貨流程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錢回來了。｜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：你嫌麻煩留著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又下單買了一件對的尺寸。｜現金 </t>
    </r>
    <r>
      <rPr>
        <sz val="10"/>
        <rFont val="Arial"/>
        <family val="0"/>
        <charset val="1"/>
      </rPr>
      <t xml:space="preserve">-9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自己（網購尺寸不合）</t>
    </r>
  </si>
  <si>
    <t xml:space="preserve">LT_T061</t>
  </si>
  <si>
    <t xml:space="preserve">孩子吵著要名牌球鞋</t>
  </si>
  <si>
    <r>
      <rPr>
        <sz val="10"/>
        <rFont val="Noto Sans CJK SC"/>
        <family val="2"/>
      </rPr>
      <t xml:space="preserve">「全班都有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只有我沒有。」</t>
    </r>
  </si>
  <si>
    <r>
      <rPr>
        <sz val="10"/>
        <rFont val="Noto Sans CJK SC"/>
        <family val="2"/>
      </rPr>
      <t xml:space="preserve">比起那雙鞋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孩子更需要知道錢從哪裡來。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</si>
  <si>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PARENTING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：你帶他挑了平價替代款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順便聊了預算怎麼分。｜現金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自己（孩子吵著要名牌球鞋）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：你拗不過買單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下次他哭得更大聲。｜現金 </t>
    </r>
    <r>
      <rPr>
        <sz val="10"/>
        <rFont val="Arial"/>
        <family val="0"/>
        <charset val="1"/>
      </rPr>
      <t xml:space="preserve">-30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自己（孩子吵著要名牌球鞋）</t>
    </r>
  </si>
  <si>
    <t xml:space="preserve">LT_T062</t>
  </si>
  <si>
    <t xml:space="preserve">過年幫爸媽添新衣</t>
  </si>
  <si>
    <t xml:space="preserve">他們總說「舊的還能穿」。</t>
  </si>
  <si>
    <r>
      <rPr>
        <sz val="10"/>
        <rFont val="Noto Sans CJK SC"/>
        <family val="2"/>
      </rPr>
      <t xml:space="preserve">孝親的錢要花在刀口上——合身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比昂貴重要。</t>
    </r>
  </si>
  <si>
    <r>
      <rPr>
        <sz val="10"/>
        <rFont val="Arial"/>
        <family val="0"/>
        <charset val="1"/>
      </rPr>
      <t xml:space="preserve">axis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FILIAL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threshold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
</t>
    </r>
    <r>
      <rPr>
        <sz val="10"/>
        <rFont val="Arial"/>
        <family val="0"/>
        <charset val="1"/>
      </rPr>
      <t xml:space="preserve">above</t>
    </r>
    <r>
      <rPr>
        <sz val="10"/>
        <rFont val="Noto Sans CJK SC"/>
        <family val="2"/>
      </rPr>
      <t xml:space="preserve">：你記得尺寸與喜好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一套合身他們穿了一整年。｜現金 </t>
    </r>
    <r>
      <rPr>
        <sz val="10"/>
        <rFont val="Arial"/>
        <family val="0"/>
        <charset val="1"/>
      </rPr>
      <t xml:space="preserve">-12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自己（過年幫爸媽添新衣）
</t>
    </r>
    <r>
      <rPr>
        <sz val="10"/>
        <rFont val="Arial"/>
        <family val="0"/>
        <charset val="1"/>
      </rPr>
      <t xml:space="preserve">below</t>
    </r>
    <r>
      <rPr>
        <sz val="10"/>
        <rFont val="Noto Sans CJK SC"/>
        <family val="2"/>
      </rPr>
      <t xml:space="preserve">：你隨手買了了事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尺寸不合來回退換還被唸。｜現金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自己（過年幫爸媽添新衣）</t>
    </r>
  </si>
  <si>
    <t xml:space="preserve">LT_D167</t>
  </si>
  <si>
    <t xml:space="preserve">換季鞋櫃大失血</t>
  </si>
  <si>
    <r>
      <rPr>
        <sz val="10"/>
        <rFont val="Noto Sans CJK SC"/>
        <family val="2"/>
      </rPr>
      <t xml:space="preserve">一雙接一雙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結帳才痛。</t>
    </r>
  </si>
  <si>
    <t xml:space="preserve">LT_D168</t>
  </si>
  <si>
    <t xml:space="preserve">上班制服汰換</t>
  </si>
  <si>
    <r>
      <rPr>
        <sz val="10"/>
        <rFont val="Noto Sans CJK SC"/>
        <family val="2"/>
      </rPr>
      <t xml:space="preserve">領口磨破了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不能再撐。</t>
    </r>
  </si>
  <si>
    <t xml:space="preserve">LT_D169</t>
  </si>
  <si>
    <t xml:space="preserve">寒流前搶購羽絨外套</t>
  </si>
  <si>
    <r>
      <rPr>
        <sz val="10"/>
        <rFont val="Noto Sans CJK SC"/>
        <family val="2"/>
      </rPr>
      <t xml:space="preserve">氣溫驟降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全城都在找同一件。</t>
    </r>
  </si>
  <si>
    <t xml:space="preserve">LT_D170</t>
  </si>
  <si>
    <t xml:space="preserve">婚宴伴娘服裝費</t>
  </si>
  <si>
    <r>
      <rPr>
        <sz val="10"/>
        <rFont val="Noto Sans CJK SC"/>
        <family val="2"/>
      </rPr>
      <t xml:space="preserve">好姊妹的大日子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治裝不能省。</t>
    </r>
  </si>
  <si>
    <t xml:space="preserve">LT_D171</t>
  </si>
  <si>
    <t xml:space="preserve">運動機能服升級</t>
  </si>
  <si>
    <r>
      <rPr>
        <sz val="10"/>
        <rFont val="Noto Sans CJK SC"/>
        <family val="2"/>
      </rPr>
      <t xml:space="preserve">開始跑步之後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棉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不夠用了。</t>
    </r>
  </si>
  <si>
    <t xml:space="preserve">LT_D172</t>
  </si>
  <si>
    <t xml:space="preserve">皮鞋換底與保養</t>
  </si>
  <si>
    <r>
      <rPr>
        <sz val="10"/>
        <rFont val="Noto Sans CJK SC"/>
        <family val="2"/>
      </rPr>
      <t xml:space="preserve">好鞋换個底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又是三年。</t>
    </r>
  </si>
  <si>
    <t xml:space="preserve">LT_D173</t>
  </si>
  <si>
    <t xml:space="preserve">網購衣物退貨運費</t>
  </si>
  <si>
    <r>
      <rPr>
        <sz val="10"/>
        <rFont val="Noto Sans CJK SC"/>
        <family val="2"/>
      </rPr>
      <t xml:space="preserve">來回兩趟運費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比衣服還不值。</t>
    </r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</si>
  <si>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內容盤點｜人生商城</t>
    </r>
  </si>
  <si>
    <r>
      <rPr>
        <i val="true"/>
        <sz val="9"/>
        <color rgb="FF666666"/>
        <rFont val="Arial"/>
        <family val="0"/>
        <charset val="1"/>
      </rPr>
      <t xml:space="preserve">MALL 26 </t>
    </r>
    <r>
      <rPr>
        <i val="true"/>
        <sz val="9"/>
        <color rgb="FF666666"/>
        <rFont val="Noto Sans CJK SC"/>
        <family val="2"/>
      </rPr>
      <t xml:space="preserve">件。規則：只在自己回合買、每輪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件、同件 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輪冷卻、重複購買幸福感遞減。「月薪倍數」有值者價格＝月薪</t>
    </r>
    <r>
      <rPr>
        <i val="true"/>
        <sz val="9"/>
        <color rgb="FF666666"/>
        <rFont val="Arial"/>
        <family val="0"/>
        <charset val="1"/>
      </rPr>
      <t xml:space="preserve">×</t>
    </r>
    <r>
      <rPr>
        <i val="true"/>
        <sz val="9"/>
        <color rgb="FF666666"/>
        <rFont val="Noto Sans CJK SC"/>
        <family val="2"/>
      </rPr>
      <t xml:space="preserve">倍數（無薪時用固定價）。金額單位＝千元。</t>
    </r>
  </si>
  <si>
    <t xml:space="preserve">圖示</t>
  </si>
  <si>
    <t xml:space="preserve">商品</t>
  </si>
  <si>
    <t xml:space="preserve">月薪倍數</t>
  </si>
  <si>
    <t xml:space="preserve">年繳保費</t>
  </si>
  <si>
    <t xml:space="preserve">一局限一次</t>
  </si>
  <si>
    <t xml:space="preserve">可續約</t>
  </si>
  <si>
    <t xml:space="preserve">醫療險</t>
  </si>
  <si>
    <t xml:space="preserve">住宅火險</t>
  </si>
  <si>
    <t xml:space="preserve">人脈</t>
  </si>
  <si>
    <t xml:space="preserve">停走</t>
  </si>
  <si>
    <t xml:space="preserve">成功機率</t>
  </si>
  <si>
    <t xml:space="preserve">成功效果</t>
  </si>
  <si>
    <t xml:space="preserve">失敗效果</t>
  </si>
  <si>
    <t xml:space="preserve">比賽獎項</t>
  </si>
  <si>
    <t xml:space="preserve">旗標</t>
  </si>
  <si>
    <t xml:space="preserve">ML_EDU1</t>
  </si>
  <si>
    <t xml:space="preserve">進修學習</t>
  </si>
  <si>
    <t xml:space="preserve">💻</t>
  </si>
  <si>
    <t xml:space="preserve">線上專業課程</t>
  </si>
  <si>
    <r>
      <rPr>
        <sz val="10"/>
        <rFont val="Arial"/>
        <family val="0"/>
        <charset val="1"/>
      </rPr>
      <t xml:space="preserve">{"salaryMult": 1.05, "label": "</t>
    </r>
    <r>
      <rPr>
        <sz val="10"/>
        <rFont val="Noto Sans CJK SC"/>
        <family val="2"/>
      </rPr>
      <t xml:space="preserve">課程學以致用，接到加給</t>
    </r>
    <r>
      <rPr>
        <sz val="10"/>
        <rFont val="Arial"/>
        <family val="0"/>
        <charset val="1"/>
      </rPr>
      <t xml:space="preserve">"}</t>
    </r>
  </si>
  <si>
    <t xml:space="preserve">沒有直接反映在薪水上，但你學到東西了</t>
  </si>
  <si>
    <t xml:space="preserve">每週兩晚，三個月結業。</t>
  </si>
  <si>
    <t xml:space="preserve">投資自己不保證加薪，但長期期望值為正——關鍵是持續，不是一次。</t>
  </si>
  <si>
    <t xml:space="preserve">mall.json</t>
  </si>
  <si>
    <t xml:space="preserve">ML_EDU2</t>
  </si>
  <si>
    <t xml:space="preserve">📜</t>
  </si>
  <si>
    <t xml:space="preserve">專業證照班</t>
  </si>
  <si>
    <r>
      <rPr>
        <sz val="10"/>
        <rFont val="Arial"/>
        <family val="0"/>
        <charset val="1"/>
      </rPr>
      <t xml:space="preserve">{"salaryMult": 1.12, "label": "</t>
    </r>
    <r>
      <rPr>
        <sz val="10"/>
        <rFont val="Noto Sans CJK SC"/>
        <family val="2"/>
      </rPr>
      <t xml:space="preserve">考取證照，薪資調整</t>
    </r>
    <r>
      <rPr>
        <sz val="10"/>
        <rFont val="Arial"/>
        <family val="0"/>
        <charset val="1"/>
      </rPr>
      <t xml:space="preserve">"}</t>
    </r>
  </si>
  <si>
    <t xml:space="preserve">這次沒過，明年再來</t>
  </si>
  <si>
    <t xml:space="preserve">週末全天班，考試在三個月後。</t>
  </si>
  <si>
    <t xml:space="preserve">證照＝用今天的現金與時間，換未來每個月的加薪。</t>
  </si>
  <si>
    <t xml:space="preserve">ML_EDU3</t>
  </si>
  <si>
    <t xml:space="preserve">🗣️</t>
  </si>
  <si>
    <t xml:space="preserve">語言進修班</t>
  </si>
  <si>
    <r>
      <rPr>
        <sz val="10"/>
        <rFont val="Arial"/>
        <family val="0"/>
        <charset val="1"/>
      </rPr>
      <t xml:space="preserve">{"salaryMult": 1.06, "label": "</t>
    </r>
    <r>
      <rPr>
        <sz val="10"/>
        <rFont val="Noto Sans CJK SC"/>
        <family val="2"/>
      </rPr>
      <t xml:space="preserve">外語加給</t>
    </r>
    <r>
      <rPr>
        <sz val="10"/>
        <rFont val="Arial"/>
        <family val="0"/>
        <charset val="1"/>
      </rPr>
      <t xml:space="preserve">"}</t>
    </r>
  </si>
  <si>
    <t xml:space="preserve">還沒到能加給的程度</t>
  </si>
  <si>
    <t xml:space="preserve">外派缺一直開，但你差一張成績單。</t>
  </si>
  <si>
    <t xml:space="preserve">語言像複利，短期看不出來，五年後差很多。</t>
  </si>
  <si>
    <t xml:space="preserve">ML_HEA1</t>
  </si>
  <si>
    <t xml:space="preserve">健康身心</t>
  </si>
  <si>
    <t xml:space="preserve">🏋️</t>
  </si>
  <si>
    <t xml:space="preserve">健身房年約</t>
  </si>
  <si>
    <r>
      <rPr>
        <sz val="10"/>
        <rFont val="Arial"/>
        <family val="0"/>
        <charset val="1"/>
      </rPr>
      <t xml:space="preserve">fit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輪）</t>
    </r>
  </si>
  <si>
    <r>
      <rPr>
        <sz val="10"/>
        <rFont val="Noto Sans CJK SC"/>
        <family val="2"/>
      </rPr>
      <t xml:space="preserve">往後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輪，醫療與意外類支出減 </t>
    </r>
    <r>
      <rPr>
        <sz val="10"/>
        <rFont val="Arial"/>
        <family val="0"/>
        <charset val="1"/>
      </rPr>
      <t xml:space="preserve">30%</t>
    </r>
  </si>
  <si>
    <t xml:space="preserve">辦卡容易，去了才算數。</t>
  </si>
  <si>
    <t xml:space="preserve">健康是最被低估的資產：省下的醫療費不會出現在報表上，但一直都在。</t>
  </si>
  <si>
    <t xml:space="preserve">ML_HEA2</t>
  </si>
  <si>
    <t xml:space="preserve">🩺</t>
  </si>
  <si>
    <t xml:space="preserve">高階健康檢查</t>
  </si>
  <si>
    <r>
      <rPr>
        <sz val="10"/>
        <rFont val="Arial"/>
        <family val="0"/>
        <charset val="1"/>
      </rPr>
      <t xml:space="preserve">checked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輪）</t>
    </r>
  </si>
  <si>
    <r>
      <rPr>
        <sz val="10"/>
        <rFont val="Noto Sans CJK SC"/>
        <family val="2"/>
      </rPr>
      <t xml:space="preserve">往後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輪，醫療類支出減 </t>
    </r>
    <r>
      <rPr>
        <sz val="10"/>
        <rFont val="Arial"/>
        <family val="0"/>
        <charset val="1"/>
      </rPr>
      <t xml:space="preserve">30%</t>
    </r>
  </si>
  <si>
    <t xml:space="preserve">一年一次，早發現早處理。</t>
  </si>
  <si>
    <t xml:space="preserve">預防性支出是「用小錢買掉尾端風險」，跟保險是同一個道理。</t>
  </si>
  <si>
    <t xml:space="preserve">ML_INS1</t>
  </si>
  <si>
    <t xml:space="preserve">風險移轉</t>
  </si>
  <si>
    <t xml:space="preserve">🛡️</t>
  </si>
  <si>
    <t xml:space="preserve">醫療＋意外險</t>
  </si>
  <si>
    <r>
      <rPr>
        <sz val="10"/>
        <rFont val="Noto Sans CJK SC"/>
        <family val="2"/>
      </rPr>
      <t xml:space="preserve">投保期間，醫療與意外類的一次性支出理賠 </t>
    </r>
    <r>
      <rPr>
        <sz val="10"/>
        <rFont val="Arial"/>
        <family val="0"/>
        <charset val="1"/>
      </rPr>
      <t xml:space="preserve">60%</t>
    </r>
  </si>
  <si>
    <t xml:space="preserve">平常沒感覺，出事那天才知道差別。</t>
  </si>
  <si>
    <t xml:space="preserve">保險不是投資，是把「賠不起的風險」用固定小錢換成確定成本。</t>
  </si>
  <si>
    <t xml:space="preserve">insurance</t>
  </si>
  <si>
    <t xml:space="preserve">ML_VIR1</t>
  </si>
  <si>
    <t xml:space="preserve">人情品格</t>
  </si>
  <si>
    <t xml:space="preserve">🧧</t>
  </si>
  <si>
    <t xml:space="preserve">包紅包（親友喜事）</t>
  </si>
  <si>
    <t xml:space="preserve">人情這件事，來往才會在。</t>
  </si>
  <si>
    <t xml:space="preserve">人情支出不是浪費，但要有預算——沒編預算的人情最傷現金流。</t>
  </si>
  <si>
    <t xml:space="preserve">ML_VIR2</t>
  </si>
  <si>
    <t xml:space="preserve">👴</t>
  </si>
  <si>
    <t xml:space="preserve">孝親金加碼</t>
  </si>
  <si>
    <t xml:space="preserve">這個月多包一點回家。</t>
  </si>
  <si>
    <t xml:space="preserve">孝親金要放進固定支出裡編列，才不會月底才發現超支。</t>
  </si>
  <si>
    <t xml:space="preserve">ML_VIR3</t>
  </si>
  <si>
    <t xml:space="preserve">🤲</t>
  </si>
  <si>
    <t xml:space="preserve">公益定期捐款</t>
  </si>
  <si>
    <t xml:space="preserve">每個月一點點，不痛但持續。</t>
  </si>
  <si>
    <t xml:space="preserve">能穩定給出去的人，通常先把自己的現金流管好了。</t>
  </si>
  <si>
    <t xml:space="preserve">ML_VIR4</t>
  </si>
  <si>
    <t xml:space="preserve">📚</t>
  </si>
  <si>
    <t xml:space="preserve">孩子的才藝課</t>
  </si>
  <si>
    <t xml:space="preserve">他說想學，你說好。</t>
  </si>
  <si>
    <t xml:space="preserve">教育支出是長期投入，先確認每月現金流撐得住再報名。</t>
  </si>
  <si>
    <t xml:space="preserve">ML_CMP1</t>
  </si>
  <si>
    <t xml:space="preserve">挑戰比賽</t>
  </si>
  <si>
    <t xml:space="preserve">🏃</t>
  </si>
  <si>
    <t xml:space="preserve">報名城市馬拉松</t>
  </si>
  <si>
    <r>
      <rPr>
        <sz val="10"/>
        <rFont val="Arial"/>
        <family val="0"/>
        <charset val="1"/>
      </rPr>
      <t xml:space="preserve">[{"min": 5, "prize": 15, "label": "</t>
    </r>
    <r>
      <rPr>
        <sz val="10"/>
        <rFont val="Noto Sans CJK SC"/>
        <family val="2"/>
      </rPr>
      <t xml:space="preserve">分組前段完賽，拿到獎金</t>
    </r>
    <r>
      <rPr>
        <sz val="10"/>
        <rFont val="Arial"/>
        <family val="0"/>
        <charset val="1"/>
      </rPr>
      <t xml:space="preserve">"}, {"min": 3, "prize": 5, "label": "</t>
    </r>
    <r>
      <rPr>
        <sz val="10"/>
        <rFont val="Noto Sans CJK SC"/>
        <family val="2"/>
      </rPr>
      <t xml:space="preserve">順利完賽，領到完賽禮</t>
    </r>
    <r>
      <rPr>
        <sz val="10"/>
        <rFont val="Arial"/>
        <family val="0"/>
        <charset val="1"/>
      </rPr>
      <t xml:space="preserve">"}, {"min": 1, "prize": 0, "label": "</t>
    </r>
    <r>
      <rPr>
        <sz val="10"/>
        <rFont val="Noto Sans CJK SC"/>
        <family val="2"/>
      </rPr>
      <t xml:space="preserve">中途退賽，下次再來</t>
    </r>
    <r>
      <rPr>
        <sz val="10"/>
        <rFont val="Arial"/>
        <family val="0"/>
        <charset val="1"/>
      </rPr>
      <t xml:space="preserve">"}]</t>
    </r>
  </si>
  <si>
    <t xml:space="preserve">報名費不貴，訓練才貴。</t>
  </si>
  <si>
    <t xml:space="preserve">設定可達成的目標並完成它，是紀律的練習——理財也一樣。</t>
  </si>
  <si>
    <t xml:space="preserve">ML_CMP2</t>
  </si>
  <si>
    <t xml:space="preserve">🚀</t>
  </si>
  <si>
    <t xml:space="preserve">創業競賽報名</t>
  </si>
  <si>
    <r>
      <rPr>
        <sz val="10"/>
        <rFont val="Arial"/>
        <family val="0"/>
        <charset val="1"/>
      </rPr>
      <t xml:space="preserve">[{"min": 6, "prize": 150, "label": "</t>
    </r>
    <r>
      <rPr>
        <sz val="10"/>
        <rFont val="Noto Sans CJK SC"/>
        <family val="2"/>
      </rPr>
      <t xml:space="preserve">首獎！獎金入帳</t>
    </r>
    <r>
      <rPr>
        <sz val="10"/>
        <rFont val="Arial"/>
        <family val="0"/>
        <charset val="1"/>
      </rPr>
      <t xml:space="preserve">"}, {"min": 4, "prize": 40, "label": "</t>
    </r>
    <r>
      <rPr>
        <sz val="10"/>
        <rFont val="Noto Sans CJK SC"/>
        <family val="2"/>
      </rPr>
      <t xml:space="preserve">佳作，拿到小額獎金</t>
    </r>
    <r>
      <rPr>
        <sz val="10"/>
        <rFont val="Arial"/>
        <family val="0"/>
        <charset val="1"/>
      </rPr>
      <t xml:space="preserve">"}, {"min": 1, "prize": 0, "label": "</t>
    </r>
    <r>
      <rPr>
        <sz val="10"/>
        <rFont val="Noto Sans CJK SC"/>
        <family val="2"/>
      </rPr>
      <t xml:space="preserve">未入圍，評審給了建議</t>
    </r>
    <r>
      <rPr>
        <sz val="10"/>
        <rFont val="Arial"/>
        <family val="0"/>
        <charset val="1"/>
      </rPr>
      <t xml:space="preserve">"}]</t>
    </r>
  </si>
  <si>
    <t xml:space="preserve">一份計畫書，一場八分鐘簡報。</t>
  </si>
  <si>
    <t xml:space="preserve">獎金是彩蛋，真正的收穫是把想法算成數字的過程。</t>
  </si>
  <si>
    <t xml:space="preserve">ML_CMP3</t>
  </si>
  <si>
    <t xml:space="preserve">📈</t>
  </si>
  <si>
    <t xml:space="preserve">投資模擬賽</t>
  </si>
  <si>
    <r>
      <rPr>
        <sz val="10"/>
        <rFont val="Arial"/>
        <family val="0"/>
        <charset val="1"/>
      </rPr>
      <t xml:space="preserve">[{"min": 5, "prize": 40, "label": "</t>
    </r>
    <r>
      <rPr>
        <sz val="10"/>
        <rFont val="Noto Sans CJK SC"/>
        <family val="2"/>
      </rPr>
      <t xml:space="preserve">績效前段班，獎金入帳</t>
    </r>
    <r>
      <rPr>
        <sz val="10"/>
        <rFont val="Arial"/>
        <family val="0"/>
        <charset val="1"/>
      </rPr>
      <t xml:space="preserve">"}, {"min": 1, "prize": 0, "label": "</t>
    </r>
    <r>
      <rPr>
        <sz val="10"/>
        <rFont val="Noto Sans CJK SC"/>
        <family val="2"/>
      </rPr>
      <t xml:space="preserve">這季操作不理想，學到教訓</t>
    </r>
    <r>
      <rPr>
        <sz val="10"/>
        <rFont val="Arial"/>
        <family val="0"/>
        <charset val="1"/>
      </rPr>
      <t xml:space="preserve">"}]</t>
    </r>
  </si>
  <si>
    <t xml:space="preserve">用假錢比績效，賽制三個月。</t>
  </si>
  <si>
    <t xml:space="preserve">模擬賽會鼓勵你冒險，真錢不會——別把賽場習慣帶進真帳戶。</t>
  </si>
  <si>
    <t xml:space="preserve">ML_EDU4</t>
  </si>
  <si>
    <t xml:space="preserve">🎓</t>
  </si>
  <si>
    <t xml:space="preserve">海外碩士留學（一年衝刺）</t>
  </si>
  <si>
    <r>
      <rPr>
        <sz val="10"/>
        <rFont val="Arial"/>
        <family val="0"/>
        <charset val="1"/>
      </rPr>
      <t xml:space="preserve">{"salaryMult": 1.35, "label": "</t>
    </r>
    <r>
      <rPr>
        <sz val="10"/>
        <rFont val="Noto Sans CJK SC"/>
        <family val="2"/>
      </rPr>
      <t xml:space="preserve">學成歸國，身價不同</t>
    </r>
    <r>
      <rPr>
        <sz val="10"/>
        <rFont val="Arial"/>
        <family val="0"/>
        <charset val="1"/>
      </rPr>
      <t xml:space="preserve">"}</t>
    </r>
  </si>
  <si>
    <t xml:space="preserve">學位沒直接反映在薪水上，但視野回不去了</t>
  </si>
  <si>
    <t xml:space="preserve">校友與同學會成為你的人脈——解鎖「特殊機會」</t>
  </si>
  <si>
    <t xml:space="preserve">辭掉工作出去一年，回來的是不一樣的自己。</t>
  </si>
  <si>
    <t xml:space="preserve">留學是人生最大的單筆自我投資之一：學費＋機會成本都要算進去。</t>
  </si>
  <si>
    <t xml:space="preserve">ML_EDU5</t>
  </si>
  <si>
    <t xml:space="preserve">✈️</t>
  </si>
  <si>
    <t xml:space="preserve">海外短期進修（三個月）</t>
  </si>
  <si>
    <r>
      <rPr>
        <sz val="10"/>
        <rFont val="Arial"/>
        <family val="0"/>
        <charset val="1"/>
      </rPr>
      <t xml:space="preserve">{"salaryMult": 1.1, "label": "</t>
    </r>
    <r>
      <rPr>
        <sz val="10"/>
        <rFont val="Noto Sans CJK SC"/>
        <family val="2"/>
      </rPr>
      <t xml:space="preserve">進修成果被看見</t>
    </r>
    <r>
      <rPr>
        <sz val="10"/>
        <rFont val="Arial"/>
        <family val="0"/>
        <charset val="1"/>
      </rPr>
      <t xml:space="preserve">"}</t>
    </r>
  </si>
  <si>
    <t xml:space="preserve">履歷多一行，薪水暫時沒動</t>
  </si>
  <si>
    <t xml:space="preserve">帶著筆電和一卡皮箱，去上三個月的課。</t>
  </si>
  <si>
    <t xml:space="preserve">短期進修風險低、回報也溫和——適合試水溫再決定要不要重押。</t>
  </si>
  <si>
    <t xml:space="preserve">ML_LUX1</t>
  </si>
  <si>
    <t xml:space="preserve">尊榮享受</t>
  </si>
  <si>
    <t xml:space="preserve">⛳</t>
  </si>
  <si>
    <t xml:space="preserve">高爾夫俱樂部會員卡</t>
  </si>
  <si>
    <t xml:space="preserve">球敘上談成的生意，比會議室多。</t>
  </si>
  <si>
    <t xml:space="preserve">人脈場也是支出場：會籍是資產還是負債，取決於你帶回什麼。</t>
  </si>
  <si>
    <r>
      <rPr>
        <sz val="10"/>
        <rFont val="Arial"/>
        <family val="0"/>
        <charset val="1"/>
      </rPr>
      <t xml:space="preserve">social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luxury</t>
    </r>
  </si>
  <si>
    <t xml:space="preserve">ML_LUX2</t>
  </si>
  <si>
    <t xml:space="preserve">🎿</t>
  </si>
  <si>
    <t xml:space="preserve">海外滑雪度假年票</t>
  </si>
  <si>
    <t xml:space="preserve">每年冬天固定消失兩週，朋友都知道去哪找你。</t>
  </si>
  <si>
    <t xml:space="preserve">為體驗付費是好的消費——前提是現金流付得起，不是卡付得起。</t>
  </si>
  <si>
    <r>
      <rPr>
        <sz val="10"/>
        <rFont val="Arial"/>
        <family val="0"/>
        <charset val="1"/>
      </rPr>
      <t xml:space="preserve">travel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luxury</t>
    </r>
  </si>
  <si>
    <t xml:space="preserve">ML_LUX3</t>
  </si>
  <si>
    <t xml:space="preserve">💳</t>
  </si>
  <si>
    <t xml:space="preserve">頂級信用卡黑卡年費</t>
  </si>
  <si>
    <t xml:space="preserve">機場貴賓室隨便進，帳單也隨便來。</t>
  </si>
  <si>
    <t xml:space="preserve">年費買的是禮遇與虛榮的匯率——換算成你的時薪再決定。</t>
  </si>
  <si>
    <t xml:space="preserve">luxury</t>
  </si>
  <si>
    <t xml:space="preserve">ML_CMP4</t>
  </si>
  <si>
    <t xml:space="preserve">🤖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</si>
  <si>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程式設計大賽</t>
    </r>
  </si>
  <si>
    <r>
      <rPr>
        <sz val="10"/>
        <rFont val="Arial"/>
        <family val="0"/>
        <charset val="1"/>
      </rPr>
      <t xml:space="preserve">[{"min": 5, "prize": 60, "label": "</t>
    </r>
    <r>
      <rPr>
        <sz val="10"/>
        <rFont val="Noto Sans CJK SC"/>
        <family val="2"/>
      </rPr>
      <t xml:space="preserve">奪冠！獎金與</t>
    </r>
    <r>
      <rPr>
        <sz val="10"/>
        <rFont val="Arial"/>
        <family val="0"/>
        <charset val="1"/>
      </rPr>
      <t xml:space="preserve">offer</t>
    </r>
    <r>
      <rPr>
        <sz val="10"/>
        <rFont val="Noto Sans CJK SC"/>
        <family val="2"/>
      </rPr>
      <t xml:space="preserve">一起來</t>
    </r>
    <r>
      <rPr>
        <sz val="10"/>
        <rFont val="Arial"/>
        <family val="0"/>
        <charset val="1"/>
      </rPr>
      <t xml:space="preserve">"}, {"min": 3, "prize": 20, "label": "</t>
    </r>
    <r>
      <rPr>
        <sz val="10"/>
        <rFont val="Noto Sans CJK SC"/>
        <family val="2"/>
      </rPr>
      <t xml:space="preserve">入圍決賽，拿到佳作獎金</t>
    </r>
    <r>
      <rPr>
        <sz val="10"/>
        <rFont val="Arial"/>
        <family val="0"/>
        <charset val="1"/>
      </rPr>
      <t xml:space="preserve">"}, {"min": 1, "prize": 0, "label": "</t>
    </r>
    <r>
      <rPr>
        <sz val="10"/>
        <rFont val="Noto Sans CJK SC"/>
        <family val="2"/>
      </rPr>
      <t xml:space="preserve">沒得名，但作品集厚了一頁</t>
    </r>
    <r>
      <rPr>
        <sz val="10"/>
        <rFont val="Arial"/>
        <family val="0"/>
        <charset val="1"/>
      </rPr>
      <t xml:space="preserve">"}]</t>
    </r>
  </si>
  <si>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小時黑客松，披薩和咖啡因無限供應。</t>
    </r>
  </si>
  <si>
    <t xml:space="preserve">技能型比賽的獎金是其次，作品集與人脈才是複利。</t>
  </si>
  <si>
    <t xml:space="preserve">ML_CMP5</t>
  </si>
  <si>
    <t xml:space="preserve">🏐</t>
  </si>
  <si>
    <t xml:space="preserve">大專排球聯賽（社會組）</t>
  </si>
  <si>
    <r>
      <rPr>
        <sz val="10"/>
        <rFont val="Arial"/>
        <family val="0"/>
        <charset val="1"/>
      </rPr>
      <t xml:space="preserve">[{"min": 5, "prize": 12, "label": "</t>
    </r>
    <r>
      <rPr>
        <sz val="10"/>
        <rFont val="Noto Sans CJK SC"/>
        <family val="2"/>
      </rPr>
      <t xml:space="preserve">打進四強，抱回獎金</t>
    </r>
    <r>
      <rPr>
        <sz val="10"/>
        <rFont val="Arial"/>
        <family val="0"/>
        <charset val="1"/>
      </rPr>
      <t xml:space="preserve">"}, {"min": 3, "prize": 4, "label": "</t>
    </r>
    <r>
      <rPr>
        <sz val="10"/>
        <rFont val="Noto Sans CJK SC"/>
        <family val="2"/>
      </rPr>
      <t xml:space="preserve">小組出線，拿到參賽獎勵</t>
    </r>
    <r>
      <rPr>
        <sz val="10"/>
        <rFont val="Arial"/>
        <family val="0"/>
        <charset val="1"/>
      </rPr>
      <t xml:space="preserve">"}, {"min": 1, "prize": 0, "label": "</t>
    </r>
    <r>
      <rPr>
        <sz val="10"/>
        <rFont val="Noto Sans CJK SC"/>
        <family val="2"/>
      </rPr>
      <t xml:space="preserve">一輪遊，明年再來</t>
    </r>
    <r>
      <rPr>
        <sz val="10"/>
        <rFont val="Arial"/>
        <family val="0"/>
        <charset val="1"/>
      </rPr>
      <t xml:space="preserve">"}]</t>
    </r>
  </si>
  <si>
    <t xml:space="preserve">每週練球兩晚，比賽那天全隊都到了。</t>
  </si>
  <si>
    <t xml:space="preserve">團隊運動買不到，只能練——身體與人際都是資產。</t>
  </si>
  <si>
    <r>
      <rPr>
        <sz val="10"/>
        <rFont val="Arial"/>
        <family val="0"/>
        <charset val="1"/>
      </rPr>
      <t xml:space="preserve">health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social</t>
    </r>
  </si>
  <si>
    <t xml:space="preserve">ML_EDU6</t>
  </si>
  <si>
    <r>
      <rPr>
        <sz val="10"/>
        <rFont val="Arial"/>
        <family val="0"/>
        <charset val="1"/>
      </rPr>
      <t xml:space="preserve">EMBA </t>
    </r>
    <r>
      <rPr>
        <sz val="10"/>
        <rFont val="Noto Sans CJK SC"/>
        <family val="2"/>
      </rPr>
      <t xml:space="preserve">在職專班（兩年）</t>
    </r>
  </si>
  <si>
    <r>
      <rPr>
        <sz val="10"/>
        <rFont val="Arial"/>
        <family val="0"/>
        <charset val="1"/>
      </rPr>
      <t xml:space="preserve">{"salaryMult": 1.18, "label": "</t>
    </r>
    <r>
      <rPr>
        <sz val="10"/>
        <rFont val="Noto Sans CJK SC"/>
        <family val="2"/>
      </rPr>
      <t xml:space="preserve">論文題目變成公司專案，升遷加薪</t>
    </r>
    <r>
      <rPr>
        <sz val="10"/>
        <rFont val="Arial"/>
        <family val="0"/>
        <charset val="1"/>
      </rPr>
      <t xml:space="preserve">"}</t>
    </r>
  </si>
  <si>
    <t xml:space="preserve">學位拿到了，但職位還沒動——人脈要時間發酵</t>
  </si>
  <si>
    <t xml:space="preserve">解鎖「特殊機會」牌堆（人脈才進得去的案子）</t>
  </si>
  <si>
    <t xml:space="preserve">週末上課，同學一半是老闆。</t>
  </si>
  <si>
    <r>
      <rPr>
        <sz val="10"/>
        <rFont val="Arial"/>
        <family val="0"/>
        <charset val="1"/>
      </rPr>
      <t xml:space="preserve">EMBA </t>
    </r>
    <r>
      <rPr>
        <sz val="10"/>
        <rFont val="Noto Sans CJK SC"/>
        <family val="2"/>
      </rPr>
      <t xml:space="preserve">的學費裡有一大半買的是同學名單——這是最誠實也最貴的人脈投資。</t>
    </r>
  </si>
  <si>
    <r>
      <rPr>
        <sz val="10"/>
        <rFont val="Arial"/>
        <family val="0"/>
        <charset val="1"/>
      </rPr>
      <t xml:space="preserve">career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network</t>
    </r>
  </si>
  <si>
    <t xml:space="preserve">ML_INS2</t>
  </si>
  <si>
    <t xml:space="preserve">🏠</t>
  </si>
  <si>
    <t xml:space="preserve">住宅火險＋地震基本保險</t>
  </si>
  <si>
    <r>
      <rPr>
        <sz val="10"/>
        <rFont val="Noto Sans CJK SC"/>
        <family val="2"/>
      </rPr>
      <t xml:space="preserve">年繳、每年自動續約；房產修繕與天災損失理賠 </t>
    </r>
    <r>
      <rPr>
        <sz val="10"/>
        <rFont val="Arial"/>
        <family val="0"/>
        <charset val="1"/>
      </rPr>
      <t xml:space="preserve">50%</t>
    </r>
  </si>
  <si>
    <t xml:space="preserve">銀行說貸款一定要保，你才第一次認真看條款。</t>
  </si>
  <si>
    <t xml:space="preserve">產險是年繳、自動續約——方便到你會忘記它一直在扣錢。記得每年重新檢視保額。</t>
  </si>
  <si>
    <t xml:space="preserve">ML_VIR5</t>
  </si>
  <si>
    <t xml:space="preserve">🙏</t>
  </si>
  <si>
    <t xml:space="preserve">安太座</t>
  </si>
  <si>
    <r>
      <rPr>
        <sz val="10"/>
        <rFont val="Noto Sans CJK SC"/>
        <family val="2"/>
      </rPr>
      <t xml:space="preserve">廟公貼上紅紙，老婆看著收據說「今年安心了」。</t>
    </r>
    <r>
      <rPr>
        <sz val="10"/>
        <rFont val="Arial"/>
        <family val="0"/>
        <charset val="1"/>
      </rPr>
      <t xml:space="preserve">Happy wife, happy life.</t>
    </r>
  </si>
  <si>
    <t xml:space="preserve">有些支出買的不是資產，是家裡的安穩與笑容——這筆帳不會出現在報酬率裡。</t>
  </si>
  <si>
    <t xml:space="preserve">ML_HEA3</t>
  </si>
  <si>
    <t xml:space="preserve">🦷</t>
  </si>
  <si>
    <t xml:space="preserve">小孩牙齒矯正</t>
  </si>
  <si>
    <t xml:space="preserve">為了孩子一生的自信笑容，這筆年度預算省不得。</t>
  </si>
  <si>
    <t xml:space="preserve">醫療健康支出往往是一次性大額負擔，平時的緊急預備金就是為了這刻而存在。</t>
  </si>
  <si>
    <r>
      <rPr>
        <sz val="10"/>
        <rFont val="Arial"/>
        <family val="0"/>
        <charset val="1"/>
      </rPr>
      <t xml:space="preserve">medical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family</t>
    </r>
  </si>
  <si>
    <t xml:space="preserve">ML_LUX4</t>
  </si>
  <si>
    <t xml:space="preserve">🛥️</t>
  </si>
  <si>
    <t xml:space="preserve">遊艇俱樂部會籍</t>
  </si>
  <si>
    <t xml:space="preserve">迎風出海的頂級社交圈，碼頭泊位與年度保養也是頂級開銷。</t>
  </si>
  <si>
    <t xml:space="preserve">頂級資產的入手價只是門票，每個月雷打不動的泊位與維護費才是現金流黑洞。</t>
  </si>
  <si>
    <t xml:space="preserve">ML_LUX5</t>
  </si>
  <si>
    <r>
      <rPr>
        <sz val="10"/>
        <rFont val="Noto Sans CJK SC"/>
        <family val="2"/>
      </rPr>
      <t xml:space="preserve">好市多 </t>
    </r>
    <r>
      <rPr>
        <sz val="10"/>
        <rFont val="Arial"/>
        <family val="0"/>
        <charset val="1"/>
      </rPr>
      <t xml:space="preserve">Costco </t>
    </r>
    <r>
      <rPr>
        <sz val="10"/>
        <rFont val="Noto Sans CJK SC"/>
        <family val="2"/>
      </rPr>
      <t xml:space="preserve">頂級黑鑽會員</t>
    </r>
  </si>
  <si>
    <r>
      <rPr>
        <sz val="10"/>
        <rFont val="Noto Sans CJK SC"/>
        <family val="2"/>
      </rPr>
      <t xml:space="preserve">推著滿載牛肉與生活用品的推車，結帳時享受 </t>
    </r>
    <r>
      <rPr>
        <sz val="10"/>
        <rFont val="Arial"/>
        <family val="0"/>
        <charset val="1"/>
      </rPr>
      <t xml:space="preserve">2% </t>
    </r>
    <r>
      <rPr>
        <sz val="10"/>
        <rFont val="Noto Sans CJK SC"/>
        <family val="2"/>
      </rPr>
      <t xml:space="preserve">尊榮回饋感。</t>
    </r>
  </si>
  <si>
    <t xml:space="preserve">會員費買的是批發採購的單價優勢，但要小心在大包裝誘惑下買了過多不需要的消耗品。</t>
  </si>
  <si>
    <t xml:space="preserve">shopping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</si>
  <si>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內容盤點｜學習</t>
    </r>
    <r>
      <rPr>
        <b val="true"/>
        <sz val="12"/>
        <rFont val="Arial"/>
        <family val="0"/>
        <charset val="1"/>
      </rPr>
      <t xml:space="preserve">-</t>
    </r>
    <r>
      <rPr>
        <b val="true"/>
        <sz val="12"/>
        <rFont val="Noto Sans CJK SC"/>
        <family val="2"/>
      </rPr>
      <t xml:space="preserve">技能</t>
    </r>
  </si>
  <si>
    <r>
      <rPr>
        <i val="true"/>
        <sz val="9"/>
        <color rgb="FF666666"/>
        <rFont val="Arial"/>
        <family val="0"/>
        <charset val="1"/>
      </rPr>
      <t xml:space="preserve">SKILL 18 </t>
    </r>
    <r>
      <rPr>
        <i val="true"/>
        <sz val="9"/>
        <color rgb="FF666666"/>
        <rFont val="Noto Sans CJK SC"/>
        <family val="2"/>
      </rPr>
      <t xml:space="preserve">種（</t>
    </r>
    <r>
      <rPr>
        <i val="true"/>
        <sz val="9"/>
        <color rgb="FF666666"/>
        <rFont val="Arial"/>
        <family val="0"/>
        <charset val="1"/>
      </rPr>
      <t xml:space="preserve">M8</t>
    </r>
    <r>
      <rPr>
        <i val="true"/>
        <sz val="9"/>
        <color rgb="FF666666"/>
        <rFont val="Noto Sans CJK SC"/>
        <family val="2"/>
      </rPr>
      <t xml:space="preserve">）。每局抽 </t>
    </r>
    <r>
      <rPr>
        <i val="true"/>
        <sz val="9"/>
        <color rgb="FF666666"/>
        <rFont val="Arial"/>
        <family val="0"/>
        <charset val="1"/>
      </rPr>
      <t xml:space="preserve">6 </t>
    </r>
    <r>
      <rPr>
        <i val="true"/>
        <sz val="9"/>
        <color rgb="FF666666"/>
        <rFont val="Noto Sans CJK SC"/>
        <family val="2"/>
      </rPr>
      <t xml:space="preserve">張進場（抽到高階會把先修一起帶進來）。主動進修多花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輪；被動取得學費 </t>
    </r>
    <r>
      <rPr>
        <i val="true"/>
        <sz val="9"/>
        <color rgb="FF666666"/>
        <rFont val="Arial"/>
        <family val="0"/>
        <charset val="1"/>
      </rPr>
      <t xml:space="preserve">7 </t>
    </r>
    <r>
      <rPr>
        <i val="true"/>
        <sz val="9"/>
        <color rgb="FF666666"/>
        <rFont val="Noto Sans CJK SC"/>
        <family val="2"/>
      </rPr>
      <t xml:space="preserve">折。金額單位＝千元。</t>
    </r>
  </si>
  <si>
    <t xml:space="preserve">技能</t>
  </si>
  <si>
    <t xml:space="preserve">階級</t>
  </si>
  <si>
    <t xml:space="preserve">家族</t>
  </si>
  <si>
    <t xml:space="preserve">學費</t>
  </si>
  <si>
    <t xml:space="preserve">學習期間月費</t>
  </si>
  <si>
    <t xml:space="preserve">所需輪數</t>
  </si>
  <si>
    <t xml:space="preserve">會過時</t>
  </si>
  <si>
    <t xml:space="preserve">先修技能</t>
  </si>
  <si>
    <t xml:space="preserve">可轉職</t>
  </si>
  <si>
    <t xml:space="preserve">功能說明</t>
  </si>
  <si>
    <t xml:space="preserve">SKL_DRIVE</t>
  </si>
  <si>
    <t xml:space="preserve">考取駕照</t>
  </si>
  <si>
    <t xml:space="preserve">MID</t>
  </si>
  <si>
    <t xml:space="preserve">MOBILITY</t>
  </si>
  <si>
    <t xml:space="preserve">交通類：可能在需要機動性的場合派上用場</t>
  </si>
  <si>
    <t xml:space="preserve">住台北有捷運，考完三年沒摸過方向盤。</t>
  </si>
  <si>
    <t xml:space="preserve">有些準備的價值，要等機會出現那天才結算。</t>
  </si>
  <si>
    <t xml:space="preserve">SKL_SPANISH</t>
  </si>
  <si>
    <t xml:space="preserve">西班牙語進修</t>
  </si>
  <si>
    <t xml:space="preserve">LANGUAGE</t>
  </si>
  <si>
    <t xml:space="preserve">語言類：可能在涉外場合派上用場</t>
  </si>
  <si>
    <t xml:space="preserve">每週兩晚，同事問你學這個要幹嘛。</t>
  </si>
  <si>
    <t xml:space="preserve">語言打開的門，你不會事先知道門後有什麼。</t>
  </si>
  <si>
    <t xml:space="preserve">SKL_PLUMB</t>
  </si>
  <si>
    <t xml:space="preserve">基礎水電</t>
  </si>
  <si>
    <t xml:space="preserve">SMALL</t>
  </si>
  <si>
    <t xml:space="preserve">HANDS</t>
  </si>
  <si>
    <t xml:space="preserve">手作類：可能在需要修繕的場合派上用場</t>
  </si>
  <si>
    <t xml:space="preserve">報名時家人笑：又不是要當師傅。</t>
  </si>
  <si>
    <t xml:space="preserve">會自己動手的人，維護成本永遠比別人低。</t>
  </si>
  <si>
    <t xml:space="preserve">SKL_CPR</t>
  </si>
  <si>
    <r>
      <rPr>
        <sz val="10"/>
        <rFont val="Noto Sans CJK SC"/>
        <family val="2"/>
      </rPr>
      <t xml:space="preserve">急救 </t>
    </r>
    <r>
      <rPr>
        <sz val="10"/>
        <rFont val="Arial"/>
        <family val="0"/>
        <charset val="1"/>
      </rPr>
      <t xml:space="preserve">CPR</t>
    </r>
  </si>
  <si>
    <t xml:space="preserve">SAFETY</t>
  </si>
  <si>
    <t xml:space="preserve">安全類：可能在有人出事的場合派上用場</t>
  </si>
  <si>
    <t xml:space="preserve">一個週末的課，發完證書就丟抽屜。</t>
  </si>
  <si>
    <t xml:space="preserve">有些學習的回報不是錢，是那天你能不能站出來。</t>
  </si>
  <si>
    <t xml:space="preserve">SKL_PRESENT</t>
  </si>
  <si>
    <t xml:space="preserve">簡報與說故事</t>
  </si>
  <si>
    <t xml:space="preserve">COMMUNICATION</t>
  </si>
  <si>
    <t xml:space="preserve">表達類：可能在需要說服別人的場合派上用場</t>
  </si>
  <si>
    <t xml:space="preserve">同事都說「內容好就好，誰在乎投影片」。</t>
  </si>
  <si>
    <t xml:space="preserve">好東西講不清楚，等於沒有。</t>
  </si>
  <si>
    <t xml:space="preserve">記帳與看財報</t>
  </si>
  <si>
    <t xml:space="preserve">FINANCE</t>
  </si>
  <si>
    <t xml:space="preserve">財務類：可能在評估一門生意時派上用場</t>
  </si>
  <si>
    <t xml:space="preserve">上完課才發現自己以前根本沒在管錢。</t>
  </si>
  <si>
    <t xml:space="preserve">看得懂數字的人，比較不容易被數字騙。</t>
  </si>
  <si>
    <t xml:space="preserve">SKL_NEGO</t>
  </si>
  <si>
    <t xml:space="preserve">談判與溝通</t>
  </si>
  <si>
    <t xml:space="preserve">表達類：可能在議價或交易的場合派上用場</t>
  </si>
  <si>
    <t xml:space="preserve">學費不便宜，上完好像也沒變得比較會吵架。</t>
  </si>
  <si>
    <t xml:space="preserve">談判不是把對方壓下去，是找到雙方都能走的路。</t>
  </si>
  <si>
    <t xml:space="preserve">SKL_LAW</t>
  </si>
  <si>
    <t xml:space="preserve">法律常識</t>
  </si>
  <si>
    <t xml:space="preserve">財務類：可能在遇到糾紛或可疑提案時派上用場</t>
  </si>
  <si>
    <t xml:space="preserve">學的時候想：我這輩子又不會上法院。</t>
  </si>
  <si>
    <t xml:space="preserve">不懂規則的人，最容易在規則裡吃虧。</t>
  </si>
  <si>
    <t xml:space="preserve">SKL_CODE</t>
  </si>
  <si>
    <t xml:space="preserve">程式與自動化</t>
  </si>
  <si>
    <t xml:space="preserve">TECH</t>
  </si>
  <si>
    <t xml:space="preserve">技術類：可能在職涯轉折時派上用場（技術會過時，需要持續更新）</t>
  </si>
  <si>
    <t xml:space="preserve">半夜自學，同事覺得你很無聊。</t>
  </si>
  <si>
    <t xml:space="preserve">技術是最快增值、也是折舊最快的資產。</t>
  </si>
  <si>
    <t xml:space="preserve">SKL_SWIM</t>
  </si>
  <si>
    <t xml:space="preserve">學會游泳</t>
  </si>
  <si>
    <t xml:space="preserve">安全類：可能在親水活動的場合派上用場</t>
  </si>
  <si>
    <t xml:space="preserve">每次去海邊都只能坐在岸上顧包包。</t>
  </si>
  <si>
    <t xml:space="preserve">有些能力，一輩子只需要用到一次，但那一次無可取代。</t>
  </si>
  <si>
    <t xml:space="preserve">SKL_PHOTO</t>
  </si>
  <si>
    <t xml:space="preserve">攝影</t>
  </si>
  <si>
    <t xml:space="preserve">CREATIVE</t>
  </si>
  <si>
    <t xml:space="preserve">創作類：可能在需要留下紀錄的場合派上用場</t>
  </si>
  <si>
    <t xml:space="preserve">買了相機，拍完三次貓就放著。</t>
  </si>
  <si>
    <t xml:space="preserve">一項不務正業的技能，有時會在最需要的那天變成正業。</t>
  </si>
  <si>
    <t xml:space="preserve">SKL_CAR_FOOD</t>
  </si>
  <si>
    <t xml:space="preserve">餐飲創業養成班</t>
  </si>
  <si>
    <t xml:space="preserve">LARGE</t>
  </si>
  <si>
    <t xml:space="preserve">CAREER</t>
  </si>
  <si>
    <t xml:space="preserve">你有沒有想過，如果哪天不做現在這行了，還能靠什麼吃飯？</t>
  </si>
  <si>
    <t xml:space="preserve">每週兩晚在中央廚房，回家滿身油煙味。</t>
  </si>
  <si>
    <t xml:space="preserve">第二專長不是為了馬上換工作，是為了讓你在被迫換的時候還有得選。</t>
  </si>
  <si>
    <t xml:space="preserve">SKL_CAR_DATA</t>
  </si>
  <si>
    <t xml:space="preserve">資料分析轉職營</t>
  </si>
  <si>
    <t xml:space="preserve">六個月的線上課，最後要交一份真實資料的分析報告。</t>
  </si>
  <si>
    <t xml:space="preserve">技術類的第二專長回報快，但也是最會過時的那一種。</t>
  </si>
  <si>
    <t xml:space="preserve">SKL_CAR_PLUMB</t>
  </si>
  <si>
    <t xml:space="preserve">水電技術士證照班</t>
  </si>
  <si>
    <t xml:space="preserve">術科考場在職訓中心，考官盯著你接線。</t>
  </si>
  <si>
    <t xml:space="preserve">有牌的手藝在景氣壞的時候特別值錢——因為壞掉的東西不會等景氣。</t>
  </si>
  <si>
    <t xml:space="preserve">SKL_CARPENTRY</t>
  </si>
  <si>
    <t xml:space="preserve">木作與居家修繕</t>
  </si>
  <si>
    <t xml:space="preserve">手作類：自己動手把空間變好，可能在跟房子有關的地方派上用場</t>
  </si>
  <si>
    <t xml:space="preserve">週末在社區大學的木工教室，鋸子和砂紙。</t>
  </si>
  <si>
    <t xml:space="preserve">同樣一間房，有人租不掉，有人租得又快又好——差別常常在願不願意自己動手。</t>
  </si>
  <si>
    <t xml:space="preserve">SKL_CPA_AUDIT</t>
  </si>
  <si>
    <t xml:space="preserve">高階審計與財務分析</t>
  </si>
  <si>
    <t xml:space="preserve">HIGH</t>
  </si>
  <si>
    <t xml:space="preserve">功能：解鎖獨立董事資格、在弊案爆發前收到審計警報並及時辭任避險。</t>
  </si>
  <si>
    <t xml:space="preserve">看透財報字裡行間的漏洞與做帳痕跡，一眼識破假帳黑洞。</t>
  </si>
  <si>
    <t xml:space="preserve">審計專業不只用來評估投資價值，更是避開偽裝吸金與假帳地雷的最強盾牌。</t>
  </si>
  <si>
    <t xml:space="preserve">SKL_GOV_LEGAL</t>
  </si>
  <si>
    <t xml:space="preserve">公司法規與合規治理</t>
  </si>
  <si>
    <t xml:space="preserve">LEGAL</t>
  </si>
  <si>
    <t xml:space="preserve">功能：解鎖獨立董事資格、免除連帶賠償、防範商業借名詐貸陷阱。</t>
  </si>
  <si>
    <t xml:space="preserve">在商業法規的灰色地帶守住紅線，明哲保身。</t>
  </si>
  <si>
    <t xml:space="preserve">懂法不是為了鑽漏洞，而是為資產築起防禦訴訟與董監連帶責任的防火牆。</t>
  </si>
  <si>
    <t xml:space="preserve">SKL_AI_ARCH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</si>
  <si>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系統架構與應用</t>
    </r>
  </si>
  <si>
    <t xml:space="preserve">功能：任何數位資產都以專業身分經營（門檻低、爆紅機率高）；科技類技能在產業變革事件中不會過時。</t>
  </si>
  <si>
    <t xml:space="preserve">將繁瑣工作自動化，打造自己的數位分身與長尾資產。</t>
  </si>
  <si>
    <t xml:space="preserve">掌握技術架構的人，在科技變革期能把外在變動轉化為持續性被動收入。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</si>
  <si>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內容盤點｜學習</t>
    </r>
    <r>
      <rPr>
        <b val="true"/>
        <sz val="12"/>
        <rFont val="Arial"/>
        <family val="0"/>
        <charset val="1"/>
      </rPr>
      <t xml:space="preserve">-</t>
    </r>
    <r>
      <rPr>
        <b val="true"/>
        <sz val="12"/>
        <rFont val="Noto Sans CJK SC"/>
        <family val="2"/>
      </rPr>
      <t xml:space="preserve">情境卡</t>
    </r>
  </si>
  <si>
    <r>
      <rPr>
        <i val="true"/>
        <sz val="9"/>
        <color rgb="FF666666"/>
        <rFont val="Arial"/>
        <family val="0"/>
        <charset val="1"/>
      </rPr>
      <t xml:space="preserve">SKILL_GATE 12 </t>
    </r>
    <r>
      <rPr>
        <i val="true"/>
        <sz val="9"/>
        <color rgb="FF666666"/>
        <rFont val="Noto Sans CJK SC"/>
        <family val="2"/>
      </rPr>
      <t xml:space="preserve">張：第 </t>
    </r>
    <r>
      <rPr>
        <i val="true"/>
        <sz val="9"/>
        <color rgb="FF666666"/>
        <rFont val="Arial"/>
        <family val="0"/>
        <charset val="1"/>
      </rPr>
      <t xml:space="preserve">12 </t>
    </r>
    <r>
      <rPr>
        <i val="true"/>
        <sz val="9"/>
        <color rgb="FF666666"/>
        <rFont val="Noto Sans CJK SC"/>
        <family val="2"/>
      </rPr>
      <t xml:space="preserve">輪後出現，每局 </t>
    </r>
    <r>
      <rPr>
        <i val="true"/>
        <sz val="9"/>
        <color rgb="FF666666"/>
        <rFont val="Arial"/>
        <family val="0"/>
        <charset val="1"/>
      </rPr>
      <t xml:space="preserve">5 </t>
    </r>
    <r>
      <rPr>
        <i val="true"/>
        <sz val="9"/>
        <color rgb="FF666666"/>
        <rFont val="Noto Sans CJK SC"/>
        <family val="2"/>
      </rPr>
      <t xml:space="preserve">張，只抽「對應技能本局有進場」的情境。有技能兌現、沒有就錯過。</t>
    </r>
  </si>
  <si>
    <t xml:space="preserve">需要技能</t>
  </si>
  <si>
    <t xml:space="preserve">有技能→敘述</t>
  </si>
  <si>
    <t xml:space="preserve">有技能→效果</t>
  </si>
  <si>
    <t xml:space="preserve">沒技能→敘述</t>
  </si>
  <si>
    <t xml:space="preserve">沒技能→效果</t>
  </si>
  <si>
    <t xml:space="preserve">SKE_TEAMTRIP</t>
  </si>
  <si>
    <t xml:space="preserve">部門團建要上山</t>
  </si>
  <si>
    <t xml:space="preserve">主管在群組問：誰能開車載一車人？</t>
  </si>
  <si>
    <t xml:space="preserve">機會不會等你準備好，它只會問你準備好了沒。</t>
  </si>
  <si>
    <t xml:space="preserve">你開車，主管坐副駕。回程他說「下個案子你來帶」。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</si>
  <si>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×1.1</t>
    </r>
    <r>
      <rPr>
        <sz val="10"/>
        <rFont val="Noto Sans CJK SC"/>
        <family val="2"/>
      </rPr>
      <t xml:space="preserve">（被看見的機動力）</t>
    </r>
  </si>
  <si>
    <t xml:space="preserve">你搭別人的車坐在後座，一路聽他們在前座把下一季的分工聊完了。</t>
  </si>
  <si>
    <t xml:space="preserve">SKE_CLIENT</t>
  </si>
  <si>
    <t xml:space="preserve">南美客戶下週來訪</t>
  </si>
  <si>
    <t xml:space="preserve">老闆在會議上問：有沒有人會西班牙語？</t>
  </si>
  <si>
    <t xml:space="preserve">你上桌翻譯兼聊足球，客戶指名你當窗口。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</si>
  <si>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×1.15</t>
    </r>
    <r>
      <rPr>
        <sz val="10"/>
        <rFont val="Noto Sans CJK SC"/>
        <family val="2"/>
      </rPr>
      <t xml:space="preserve">（外語加給）；幸福感 </t>
    </r>
    <r>
      <rPr>
        <sz val="10"/>
        <rFont val="Arial"/>
        <family val="0"/>
        <charset val="1"/>
      </rPr>
      <t xml:space="preserve">+1</t>
    </r>
  </si>
  <si>
    <t xml:space="preserve">你在辦公室加班，看同事被帶去晚宴。</t>
  </si>
  <si>
    <t xml:space="preserve">SKE_HEATER</t>
  </si>
  <si>
    <t xml:space="preserve">租客半夜打電話：熱水器不出熱水</t>
  </si>
  <si>
    <t xml:space="preserve">電話那頭的聲音，聽起來已經在生氣了。</t>
  </si>
  <si>
    <t xml:space="preserve">你隔天自己換掉零件，順便跟租客混熟，續約談定。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</si>
  <si>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-4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自己（零件費）</t>
    </r>
  </si>
  <si>
    <t xml:space="preserve">叫師傅、急件加價，租客不爽，下期不續約。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</si>
  <si>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-18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自己（急件修繕與空租損失）</t>
    </r>
  </si>
  <si>
    <t xml:space="preserve">SKE_BANQUET</t>
  </si>
  <si>
    <t xml:space="preserve">尾牙上，隔壁桌的長輩突然倒下</t>
  </si>
  <si>
    <t xml:space="preserve">現場一片慌亂，有人喊「誰會急救」。</t>
  </si>
  <si>
    <t xml:space="preserve">你壓胸壓到救護車來，人救回來了。全場沒有人記得那晚的菜色。</t>
  </si>
  <si>
    <r>
      <rPr>
        <sz val="10"/>
        <rFont val="Noto Sans CJK SC"/>
        <family val="2"/>
      </rPr>
      <t xml:space="preserve">幸福感 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；品格 情緒</t>
    </r>
    <r>
      <rPr>
        <sz val="10"/>
        <rFont val="Arial"/>
        <family val="0"/>
        <charset val="1"/>
      </rPr>
      <t xml:space="preserve">+1</t>
    </r>
  </si>
  <si>
    <r>
      <rPr>
        <sz val="10"/>
        <rFont val="Noto Sans CJK SC"/>
        <family val="2"/>
      </rPr>
      <t xml:space="preserve">你只能打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，然後站在旁邊看著。那幾分鐘很長。</t>
    </r>
  </si>
  <si>
    <t xml:space="preserve">SKE_BUDGET</t>
  </si>
  <si>
    <t xml:space="preserve">年度預算會議</t>
  </si>
  <si>
    <t xml:space="preserve">你的案子要跟另外兩個部門搶同一筆錢。</t>
  </si>
  <si>
    <t xml:space="preserve">三頁講完，當場拍板。專案上線，年底獎金入袋。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</si>
  <si>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自己（專案獎金）</t>
    </r>
  </si>
  <si>
    <t xml:space="preserve">你講了二十分鐘，主管低頭看手機。案子砍掉。</t>
  </si>
  <si>
    <t xml:space="preserve">SKE_FAKEBOOK</t>
  </si>
  <si>
    <t xml:space="preserve">朋友邀你合資頂讓一間小吃攤</t>
  </si>
  <si>
    <t xml:space="preserve">「月營收很漂亮」，他把報表推到你面前。</t>
  </si>
  <si>
    <t xml:space="preserve">你翻了兩年流水，看出那營收是抓旺季推估的，笑著婉拒。</t>
  </si>
  <si>
    <t xml:space="preserve">你憑感覺投了，三個月後才發現淡季根本撐不住。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</si>
  <si>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-70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自己（看走眼的投資）</t>
    </r>
  </si>
  <si>
    <t xml:space="preserve">SKE_HAGGLE</t>
  </si>
  <si>
    <t xml:space="preserve">店面成交前的最後一輪議價</t>
  </si>
  <si>
    <t xml:space="preserve">屋主說這個價已經是底線了。</t>
  </si>
  <si>
    <t xml:space="preserve">你看出他急著出手，多要了一成的裝修補貼。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</si>
  <si>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+35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自己（議價省下的錢）</t>
    </r>
  </si>
  <si>
    <t xml:space="preserve">你照開價成交，還覺得自己賺到。</t>
  </si>
  <si>
    <t xml:space="preserve">SKE_PONZI</t>
  </si>
  <si>
    <r>
      <rPr>
        <sz val="10"/>
        <rFont val="Noto Sans CJK SC"/>
        <family val="2"/>
      </rPr>
      <t xml:space="preserve">老同學拿「保證月配 </t>
    </r>
    <r>
      <rPr>
        <sz val="10"/>
        <rFont val="Arial"/>
        <family val="0"/>
        <charset val="1"/>
      </rPr>
      <t xml:space="preserve">8%</t>
    </r>
    <r>
      <rPr>
        <sz val="10"/>
        <rFont val="Noto Sans CJK SC"/>
        <family val="2"/>
      </rPr>
      <t xml:space="preserve">」的海外基金來找你</t>
    </r>
  </si>
  <si>
    <t xml:space="preserve">群組裡已經有五個人投了，他們都說很穩。</t>
  </si>
  <si>
    <t xml:space="preserve">你當場看出是資金盤，還把群組其他人拉住。</t>
  </si>
  <si>
    <t xml:space="preserve">你投了，半年後平台關站，群組解散得很安靜。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</si>
  <si>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-200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自己（資金盤</t>
    </r>
    <r>
      <rPr>
        <sz val="10"/>
        <rFont val="Arial"/>
        <family val="0"/>
        <charset val="1"/>
      </rPr>
      <t xml:space="preserve">losses</t>
    </r>
    <r>
      <rPr>
        <sz val="10"/>
        <rFont val="Noto Sans CJK SC"/>
        <family val="2"/>
      </rPr>
      <t xml:space="preserve">）</t>
    </r>
  </si>
  <si>
    <t xml:space="preserve">SKE_AILAYOFF</t>
  </si>
  <si>
    <r>
      <rPr>
        <sz val="10"/>
        <rFont val="Noto Sans CJK SC"/>
        <family val="2"/>
      </rPr>
      <t xml:space="preserve">公司導入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，部門要精簡一半人力</t>
    </r>
  </si>
  <si>
    <t xml:space="preserve">名單下週公布，辦公室很安靜。</t>
  </si>
  <si>
    <t xml:space="preserve">你半夜自學的那些東西，讓你變成負責導入的那個人。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</si>
  <si>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×1.25</t>
    </r>
    <r>
      <rPr>
        <sz val="10"/>
        <rFont val="Noto Sans CJK SC"/>
        <family val="2"/>
      </rPr>
      <t xml:space="preserve">（轉型主力）</t>
    </r>
  </si>
  <si>
    <t xml:space="preserve">你在名單上。重新找工作花了一段時間。</t>
  </si>
  <si>
    <r>
      <rPr>
        <sz val="10"/>
        <rFont val="Noto Sans CJK SC"/>
        <family val="2"/>
      </rPr>
      <t xml:space="preserve">薪水</t>
    </r>
    <r>
      <rPr>
        <sz val="10"/>
        <rFont val="Arial"/>
        <family val="0"/>
        <charset val="1"/>
      </rPr>
      <t xml:space="preserve">× ×0.8</t>
    </r>
    <r>
      <rPr>
        <sz val="10"/>
        <rFont val="Noto Sans CJK SC"/>
        <family val="2"/>
      </rPr>
      <t xml:space="preserve">（重新開始）；停走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輪（求職空窗）</t>
    </r>
  </si>
  <si>
    <t xml:space="preserve">SKE_WEDDING</t>
  </si>
  <si>
    <t xml:space="preserve">好友婚禮前一週，攝影師落跑</t>
  </si>
  <si>
    <t xml:space="preserve">新娘在電話那頭快哭了。</t>
  </si>
  <si>
    <t xml:space="preserve">你頂上，成品出乎意料的好，賓客搶著要你名片。</t>
  </si>
  <si>
    <r>
      <rPr>
        <sz val="10"/>
        <rFont val="Noto Sans CJK SC"/>
        <family val="2"/>
      </rPr>
      <t xml:space="preserve">幸福感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；現金 </t>
    </r>
    <r>
      <rPr>
        <sz val="10"/>
        <rFont val="Arial"/>
        <family val="0"/>
        <charset val="1"/>
      </rPr>
      <t xml:space="preserve">+20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自己（謝禮與後續案子）</t>
    </r>
  </si>
  <si>
    <t xml:space="preserve">大家用手機亂拍，那天的照片後來沒人再打開過。</t>
  </si>
  <si>
    <t xml:space="preserve">SKE_DROWNING</t>
  </si>
  <si>
    <t xml:space="preserve">海邊玩水，姪子被浪捲離岸邊</t>
  </si>
  <si>
    <t xml:space="preserve">岸上的人都在喊，但沒有人下水。</t>
  </si>
  <si>
    <t xml:space="preserve">有些能力一輩子只用到一次，但那一次無可取代。</t>
  </si>
  <si>
    <t xml:space="preserve">你游過去把人拖回來。上岸後你們都在發抖。</t>
  </si>
  <si>
    <t xml:space="preserve">你只能在岸上大叫等救生員。那段時間長得像一輩子。</t>
  </si>
  <si>
    <t xml:space="preserve">SKE_CARCRASH</t>
  </si>
  <si>
    <t xml:space="preserve">你被追撞，對方一口咬定是你煞太急</t>
  </si>
  <si>
    <t xml:space="preserve">family:SAFETY</t>
  </si>
  <si>
    <t xml:space="preserve">路口沒有目擊者，只有兩台車卡在那裡。</t>
  </si>
  <si>
    <t xml:space="preserve">遇到事情知道下一步該做什麼，本身就是一種保險。</t>
  </si>
  <si>
    <t xml:space="preserve">你冷靜拍照、報案、調閱行車記錄，肇責清楚。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</si>
  <si>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-8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自己（自付額）</t>
    </r>
  </si>
  <si>
    <t xml:space="preserve">現場沒拍沒報案，事後各說各話，肇責五五分。</t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</si>
  <si>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-45 </t>
    </r>
    <r>
      <rPr>
        <sz val="10"/>
        <rFont val="Noto Sans CJK SC"/>
        <family val="2"/>
      </rPr>
      <t xml:space="preserve">對象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自己（和解與修車）</t>
    </r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</si>
  <si>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內容盤點｜學習</t>
    </r>
    <r>
      <rPr>
        <b val="true"/>
        <sz val="12"/>
        <rFont val="Arial"/>
        <family val="0"/>
        <charset val="1"/>
      </rPr>
      <t xml:space="preserve">-</t>
    </r>
    <r>
      <rPr>
        <b val="true"/>
        <sz val="12"/>
        <rFont val="Noto Sans CJK SC"/>
        <family val="2"/>
      </rPr>
      <t xml:space="preserve">數位資產</t>
    </r>
  </si>
  <si>
    <r>
      <rPr>
        <i val="true"/>
        <sz val="9"/>
        <color rgb="FF666666"/>
        <rFont val="Arial"/>
        <family val="0"/>
        <charset val="1"/>
      </rPr>
      <t xml:space="preserve">DIGITAL 6 </t>
    </r>
    <r>
      <rPr>
        <i val="true"/>
        <sz val="9"/>
        <color rgb="FF666666"/>
        <rFont val="Noto Sans CJK SC"/>
        <family val="2"/>
      </rPr>
      <t xml:space="preserve">種，每局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</rPr>
      <t xml:space="preserve">張，最多同時經營 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個。有對應技能（或 </t>
    </r>
    <r>
      <rPr>
        <i val="true"/>
        <sz val="9"/>
        <color rgb="FF666666"/>
        <rFont val="Arial"/>
        <family val="0"/>
        <charset val="1"/>
      </rPr>
      <t xml:space="preserve">AI </t>
    </r>
    <r>
      <rPr>
        <i val="true"/>
        <sz val="9"/>
        <color rgb="FF666666"/>
        <rFont val="Noto Sans CJK SC"/>
        <family val="2"/>
      </rPr>
      <t xml:space="preserve">系統架構）＝專業：門檻 −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、爆紅 </t>
    </r>
    <r>
      <rPr>
        <i val="true"/>
        <sz val="9"/>
        <color rgb="FF666666"/>
        <rFont val="Arial"/>
        <family val="0"/>
        <charset val="1"/>
      </rPr>
      <t xml:space="preserve">18%</t>
    </r>
    <r>
      <rPr>
        <i val="true"/>
        <sz val="9"/>
        <color rgb="FF666666"/>
        <rFont val="Noto Sans CJK SC"/>
        <family val="2"/>
      </rPr>
      <t xml:space="preserve">；沒有＝門檻 </t>
    </r>
    <r>
      <rPr>
        <i val="true"/>
        <sz val="9"/>
        <color rgb="FF666666"/>
        <rFont val="Arial"/>
        <family val="0"/>
        <charset val="1"/>
      </rPr>
      <t xml:space="preserve">+2</t>
    </r>
    <r>
      <rPr>
        <i val="true"/>
        <sz val="9"/>
        <color rgb="FF666666"/>
        <rFont val="Noto Sans CJK SC"/>
        <family val="2"/>
      </rPr>
      <t xml:space="preserve">、爆紅 </t>
    </r>
    <r>
      <rPr>
        <i val="true"/>
        <sz val="9"/>
        <color rgb="FF666666"/>
        <rFont val="Arial"/>
        <family val="0"/>
        <charset val="1"/>
      </rPr>
      <t xml:space="preserve">5%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50% </t>
    </r>
    <r>
      <rPr>
        <i val="true"/>
        <sz val="9"/>
        <color rgb="FF666666"/>
        <rFont val="Noto Sans CJK SC"/>
        <family val="2"/>
      </rPr>
      <t xml:space="preserve">做白工。金額單位＝千元。</t>
    </r>
  </si>
  <si>
    <t xml:space="preserve">對應技能</t>
  </si>
  <si>
    <t xml:space="preserve">建置費</t>
  </si>
  <si>
    <t xml:space="preserve">每月維護</t>
  </si>
  <si>
    <t xml:space="preserve">起飛門檻</t>
  </si>
  <si>
    <t xml:space="preserve">基礎月收入</t>
  </si>
  <si>
    <t xml:space="preserve">DIG_COURSE</t>
  </si>
  <si>
    <t xml:space="preserve">線上課程：看懂一張財報</t>
  </si>
  <si>
    <t xml:space="preserve">要先看得懂財報，才教得了別人</t>
  </si>
  <si>
    <t xml:space="preserve">錄了十二支影片，剪到凌晨三點。</t>
  </si>
  <si>
    <t xml:space="preserve">課程上架那天不是終點，是長尾的第一天——沒人續作的課會被演算法忘記。</t>
  </si>
  <si>
    <t xml:space="preserve">DIG_YT_FIX</t>
  </si>
  <si>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頻道：自己動手修</t>
    </r>
  </si>
  <si>
    <t xml:space="preserve">手上要真的有這門手藝，鏡頭騙不了人</t>
  </si>
  <si>
    <t xml:space="preserve">手機架在水槽旁邊，一邊修一邊講。</t>
  </si>
  <si>
    <t xml:space="preserve">實作型內容的長尾最長——因為壞掉的東西每年都會壞。</t>
  </si>
  <si>
    <t xml:space="preserve">DIG_PHOTO</t>
  </si>
  <si>
    <t xml:space="preserve">圖庫授權與線上攝影課</t>
  </si>
  <si>
    <t xml:space="preserve">要有拿得出手的作品</t>
  </si>
  <si>
    <t xml:space="preserve">上傳了四百張，前三個月賣出兩張。</t>
  </si>
  <si>
    <t xml:space="preserve">授權型收入前期幾乎是零，這是它勸退大多數人的方式。</t>
  </si>
  <si>
    <t xml:space="preserve">DIG_TOOL</t>
  </si>
  <si>
    <t xml:space="preserve">自動化小工具訂閱制</t>
  </si>
  <si>
    <t xml:space="preserve">要寫得出來，也要修得動</t>
  </si>
  <si>
    <t xml:space="preserve">本來只是自己要用，朋友問能不能也給他一份。</t>
  </si>
  <si>
    <t xml:space="preserve">訂閱制的甜蜜與詛咒是同一件事：你得一直維護它。</t>
  </si>
  <si>
    <t xml:space="preserve">DIG_NEWS</t>
  </si>
  <si>
    <t xml:space="preserve">知識型電子報訂閱制</t>
  </si>
  <si>
    <t xml:space="preserve">會講故事的人，才留得住讀者</t>
  </si>
  <si>
    <t xml:space="preserve">每週寄一封，寫的時候覺得沒人看，退訂的時候才知道有。</t>
  </si>
  <si>
    <t xml:space="preserve">訂閱制的收入看起來最像被動收入，其實最不被動——你得一直交稿。</t>
  </si>
  <si>
    <t xml:space="preserve">DIG_SPANISH</t>
  </si>
  <si>
    <r>
      <rPr>
        <sz val="10"/>
        <rFont val="Noto Sans CJK SC"/>
        <family val="2"/>
      </rPr>
      <t xml:space="preserve">西語教學 </t>
    </r>
    <r>
      <rPr>
        <sz val="10"/>
        <rFont val="Arial"/>
        <family val="0"/>
        <charset val="1"/>
      </rPr>
      <t xml:space="preserve">Podcast</t>
    </r>
  </si>
  <si>
    <t xml:space="preserve">要真的會講，不能只是會查</t>
  </si>
  <si>
    <t xml:space="preserve">每集十五分鐘，錄音室是你家衣櫃。</t>
  </si>
  <si>
    <t xml:space="preserve">語言內容的觀眾換得快，但每一批新學習者都會從第一集開始聽。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</si>
  <si>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內容盤點｜徽章</t>
    </r>
  </si>
  <si>
    <r>
      <rPr>
        <i val="true"/>
        <sz val="9"/>
        <color rgb="FF666666"/>
        <rFont val="Arial"/>
        <family val="0"/>
        <charset val="1"/>
      </rPr>
      <t xml:space="preserve">BADGE 29 </t>
    </r>
    <r>
      <rPr>
        <i val="true"/>
        <sz val="9"/>
        <color rgb="FF666666"/>
        <rFont val="Noto Sans CJK SC"/>
        <family val="2"/>
      </rPr>
      <t xml:space="preserve">種：復盤報告依 </t>
    </r>
    <r>
      <rPr>
        <i val="true"/>
        <sz val="9"/>
        <color rgb="FF666666"/>
        <rFont val="Arial"/>
        <family val="0"/>
        <charset val="1"/>
      </rPr>
      <t xml:space="preserve">ns.badges.rules </t>
    </r>
    <r>
      <rPr>
        <i val="true"/>
        <sz val="9"/>
        <color rgb="FF666666"/>
        <rFont val="Noto Sans CJK SC"/>
        <family val="2"/>
      </rPr>
      <t xml:space="preserve">的純函式判定。</t>
    </r>
  </si>
  <si>
    <t xml:space="preserve">稀有度</t>
  </si>
  <si>
    <t xml:space="preserve">達成條件</t>
  </si>
  <si>
    <t xml:space="preserve">規則函式</t>
  </si>
  <si>
    <t xml:space="preserve">互斥</t>
  </si>
  <si>
    <t xml:space="preserve">關聯</t>
  </si>
  <si>
    <t xml:space="preserve">BDG_READY</t>
  </si>
  <si>
    <t xml:space="preserve">📖</t>
  </si>
  <si>
    <t xml:space="preserve">書到用時</t>
  </si>
  <si>
    <t xml:space="preserve">學習</t>
  </si>
  <si>
    <t xml:space="preserve">COMMON</t>
  </si>
  <si>
    <r>
      <rPr>
        <sz val="10"/>
        <rFont val="Noto Sans CJK SC"/>
        <family val="2"/>
      </rPr>
      <t xml:space="preserve">技能真的派上用場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次以上——你準備的東西，機會來的時候接得住。</t>
    </r>
  </si>
  <si>
    <t xml:space="preserve">ready</t>
  </si>
  <si>
    <t xml:space="preserve">BDG_TWOTRADE</t>
  </si>
  <si>
    <t xml:space="preserve">🔧</t>
  </si>
  <si>
    <t xml:space="preserve">兩把刷子</t>
  </si>
  <si>
    <t xml:space="preserve">轉到不同產業的第二專長——整個產業一起倒的時候，你還有另一條路。</t>
  </si>
  <si>
    <t xml:space="preserve">twoTrade</t>
  </si>
  <si>
    <t xml:space="preserve">BDG_LIFELONG</t>
  </si>
  <si>
    <t xml:space="preserve">終身學習者</t>
  </si>
  <si>
    <r>
      <rPr>
        <sz val="10"/>
        <rFont val="Noto Sans CJK SC"/>
        <family val="2"/>
      </rPr>
      <t xml:space="preserve">學成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項以上，而且一次都沒半途放棄。</t>
    </r>
  </si>
  <si>
    <t xml:space="preserve">lifelong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</si>
  <si>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</t>
    </r>
  </si>
  <si>
    <t xml:space="preserve">BDG_QUITTER</t>
  </si>
  <si>
    <t xml:space="preserve">🥱</t>
  </si>
  <si>
    <t xml:space="preserve">半途而廢專家</t>
  </si>
  <si>
    <r>
      <rPr>
        <sz val="10"/>
        <rFont val="Noto Sans CJK SC"/>
        <family val="2"/>
      </rPr>
      <t xml:space="preserve">放棄學習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次以上——沉沒成本這門課，你上得很貴。</t>
    </r>
  </si>
  <si>
    <t xml:space="preserve">quitter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</si>
  <si>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</t>
    </r>
  </si>
  <si>
    <t xml:space="preserve">BDG_WASTED</t>
  </si>
  <si>
    <t xml:space="preserve">🌫</t>
  </si>
  <si>
    <t xml:space="preserve">白學了</t>
  </si>
  <si>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項以上技能整局沒用上。這不是你的錯——機會本來就不保證出現。</t>
    </r>
  </si>
  <si>
    <t xml:space="preserve">wasted</t>
  </si>
  <si>
    <t xml:space="preserve">BDG_LONGTAIL</t>
  </si>
  <si>
    <t xml:space="preserve">📡</t>
  </si>
  <si>
    <t xml:space="preserve">長尾獵人</t>
  </si>
  <si>
    <t xml:space="preserve">數位</t>
  </si>
  <si>
    <t xml:space="preserve">RARE</t>
  </si>
  <si>
    <t xml:space="preserve">至少有一個數位資產真的起飛了。</t>
  </si>
  <si>
    <t xml:space="preserve">longtail</t>
  </si>
  <si>
    <t xml:space="preserve">BDG_VIRAL</t>
  </si>
  <si>
    <t xml:space="preserve">演算法寵兒</t>
  </si>
  <si>
    <t xml:space="preserve">做出一個爆紅的內容——享受它，但別把它當成常態。</t>
  </si>
  <si>
    <t xml:space="preserve">viral</t>
  </si>
  <si>
    <t xml:space="preserve">BDG_GHOST</t>
  </si>
  <si>
    <t xml:space="preserve">👻</t>
  </si>
  <si>
    <t xml:space="preserve">荒廢的頻道</t>
  </si>
  <si>
    <t xml:space="preserve">有內容因為停更而歸零。長尾屬於持續的人。</t>
  </si>
  <si>
    <t xml:space="preserve">ghost</t>
  </si>
  <si>
    <t xml:space="preserve">BDG_PRODIGY</t>
  </si>
  <si>
    <t xml:space="preserve">🌟</t>
  </si>
  <si>
    <t xml:space="preserve">投資神童</t>
  </si>
  <si>
    <t xml:space="preserve">投資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</si>
  <si>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輪之前就達成財務自由。</t>
    </r>
  </si>
  <si>
    <t xml:space="preserve">prodigy</t>
  </si>
  <si>
    <t xml:space="preserve">BDG_KARATE</t>
  </si>
  <si>
    <t xml:space="preserve">🥋</t>
  </si>
  <si>
    <t xml:space="preserve">空手道大師</t>
  </si>
  <si>
    <t xml:space="preserve">達成自由，而且身上一毛負債都沒有。</t>
  </si>
  <si>
    <t xml:space="preserve">karate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</si>
  <si>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</t>
    </r>
  </si>
  <si>
    <t xml:space="preserve">BDG_LEVER</t>
  </si>
  <si>
    <t xml:space="preserve">🎚</t>
  </si>
  <si>
    <t xml:space="preserve">槓桿藝術家</t>
  </si>
  <si>
    <r>
      <rPr>
        <sz val="10"/>
        <rFont val="Noto Sans CJK SC"/>
        <family val="2"/>
      </rPr>
      <t xml:space="preserve">最高槓桿踩到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倍以上，還全身而退。</t>
    </r>
  </si>
  <si>
    <t xml:space="preserve">lever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</si>
  <si>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</si>
  <si>
    <t xml:space="preserve">BDG_LANDLORD</t>
  </si>
  <si>
    <t xml:space="preserve">🏘</t>
  </si>
  <si>
    <t xml:space="preserve">房產大亨</t>
  </si>
  <si>
    <r>
      <rPr>
        <sz val="10"/>
        <rFont val="Noto Sans CJK SC"/>
        <family val="2"/>
      </rPr>
      <t xml:space="preserve">同時持有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筆以上不動產。</t>
    </r>
  </si>
  <si>
    <t xml:space="preserve">landlord</t>
  </si>
  <si>
    <t xml:space="preserve">BDG_TYCOON</t>
  </si>
  <si>
    <t xml:space="preserve">🏭</t>
  </si>
  <si>
    <t xml:space="preserve">事業王</t>
  </si>
  <si>
    <r>
      <rPr>
        <sz val="10"/>
        <rFont val="Noto Sans CJK SC"/>
        <family val="2"/>
      </rPr>
      <t xml:space="preserve">同時經營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門以上事業。</t>
    </r>
  </si>
  <si>
    <t xml:space="preserve">tycoon</t>
  </si>
  <si>
    <t xml:space="preserve">BDG_CASHFLOW</t>
  </si>
  <si>
    <t xml:space="preserve">💧</t>
  </si>
  <si>
    <t xml:space="preserve">現金流獵人</t>
  </si>
  <si>
    <t xml:space="preserve">被動收入達到每月支出的兩倍以上。</t>
  </si>
  <si>
    <t xml:space="preserve">cashflow</t>
  </si>
  <si>
    <t xml:space="preserve">BDG_TAKEPROFIT</t>
  </si>
  <si>
    <t xml:space="preserve">✂️</t>
  </si>
  <si>
    <t xml:space="preserve">落袋為安</t>
  </si>
  <si>
    <r>
      <rPr>
        <sz val="10"/>
        <rFont val="Noto Sans CJK SC"/>
        <family val="2"/>
      </rPr>
      <t xml:space="preserve">主動停利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次以上——帳上的獲利不是你的錢，賣掉才是。</t>
    </r>
  </si>
  <si>
    <t xml:space="preserve">takeProfit</t>
  </si>
  <si>
    <t xml:space="preserve">BDG_NETWORK</t>
  </si>
  <si>
    <t xml:space="preserve">人脈存摺</t>
  </si>
  <si>
    <t xml:space="preserve">準備</t>
  </si>
  <si>
    <r>
      <rPr>
        <sz val="10"/>
        <rFont val="Noto Sans CJK SC"/>
        <family val="2"/>
      </rPr>
      <t xml:space="preserve">靠海外留學或 </t>
    </r>
    <r>
      <rPr>
        <sz val="10"/>
        <rFont val="Arial"/>
        <family val="0"/>
        <charset val="1"/>
      </rPr>
      <t xml:space="preserve">EMBA </t>
    </r>
    <r>
      <rPr>
        <sz val="10"/>
        <rFont val="Noto Sans CJK SC"/>
        <family val="2"/>
      </rPr>
      <t xml:space="preserve">打開了那扇門。</t>
    </r>
  </si>
  <si>
    <t xml:space="preserve">network</t>
  </si>
  <si>
    <t xml:space="preserve">BDG_INSURED</t>
  </si>
  <si>
    <t xml:space="preserve">🛡</t>
  </si>
  <si>
    <t xml:space="preserve">有備無患</t>
  </si>
  <si>
    <t xml:space="preserve">醫療險與住宅火險同時在保——把賠不起的風險換成確定成本。</t>
  </si>
  <si>
    <t xml:space="preserve">insured</t>
  </si>
  <si>
    <t xml:space="preserve">BDG_VIRTUE</t>
  </si>
  <si>
    <t xml:space="preserve">🪷</t>
  </si>
  <si>
    <t xml:space="preserve">修養有成</t>
  </si>
  <si>
    <t xml:space="preserve">品格</t>
  </si>
  <si>
    <t xml:space="preserve">四個品格軸全部滿級。</t>
  </si>
  <si>
    <t xml:space="preserve">virtue</t>
  </si>
  <si>
    <t xml:space="preserve">BDG_SAVED</t>
  </si>
  <si>
    <t xml:space="preserve">🍀</t>
  </si>
  <si>
    <t xml:space="preserve">化險為夷</t>
  </si>
  <si>
    <r>
      <rPr>
        <sz val="10"/>
        <rFont val="Noto Sans CJK SC"/>
        <family val="2"/>
      </rPr>
      <t xml:space="preserve">品格在考驗中替你省下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以上。</t>
    </r>
  </si>
  <si>
    <t xml:space="preserve">saved</t>
  </si>
  <si>
    <t xml:space="preserve">BDG_CAT</t>
  </si>
  <si>
    <t xml:space="preserve">🐈</t>
  </si>
  <si>
    <t xml:space="preserve">九命怪貓</t>
  </si>
  <si>
    <t xml:space="preserve">危機</t>
  </si>
  <si>
    <t xml:space="preserve">從自由圈跌回兩次以上，最後還是沒倒。</t>
  </si>
  <si>
    <t xml:space="preserve">cat</t>
  </si>
  <si>
    <t xml:space="preserve">BDG_ALMOST</t>
  </si>
  <si>
    <t xml:space="preserve">😮‍💨</t>
  </si>
  <si>
    <t xml:space="preserve">差一步</t>
  </si>
  <si>
    <t xml:space="preserve">三度逼近自由又跌回去——差的往往不是運氣，是水位。</t>
  </si>
  <si>
    <t xml:space="preserve">almost</t>
  </si>
  <si>
    <t xml:space="preserve">BDG_TOP_LEARNER</t>
  </si>
  <si>
    <t xml:space="preserve">🧠</t>
  </si>
  <si>
    <t xml:space="preserve">最會學的人</t>
  </si>
  <si>
    <t xml:space="preserve">頭銜</t>
  </si>
  <si>
    <t xml:space="preserve">LEGEND</t>
  </si>
  <si>
    <t xml:space="preserve">全場學成技能最多。</t>
  </si>
  <si>
    <t xml:space="preserve">topLearner</t>
  </si>
  <si>
    <t xml:space="preserve">BDG_TOP_GAMBLER</t>
  </si>
  <si>
    <t xml:space="preserve">🎲</t>
  </si>
  <si>
    <t xml:space="preserve">最敢賭的人</t>
  </si>
  <si>
    <t xml:space="preserve">全場最高槓桿。</t>
  </si>
  <si>
    <t xml:space="preserve">topGambler</t>
  </si>
  <si>
    <t xml:space="preserve">BDG_TOP_FREE</t>
  </si>
  <si>
    <t xml:space="preserve">🕊</t>
  </si>
  <si>
    <t xml:space="preserve">最早自由的人</t>
  </si>
  <si>
    <t xml:space="preserve">全場最早達成財務自由。</t>
  </si>
  <si>
    <t xml:space="preserve">topFree</t>
  </si>
  <si>
    <t xml:space="preserve">BDG_TOP_FAMILY</t>
  </si>
  <si>
    <t xml:space="preserve">💗</t>
  </si>
  <si>
    <t xml:space="preserve">最會照顧家人的人</t>
  </si>
  <si>
    <t xml:space="preserve">全場幸福感最高。</t>
  </si>
  <si>
    <t xml:space="preserve">topFamily</t>
  </si>
  <si>
    <t xml:space="preserve">BDG_TOP_BARGAIN</t>
  </si>
  <si>
    <t xml:space="preserve">🧾</t>
  </si>
  <si>
    <t xml:space="preserve">最會撿便宜的人</t>
  </si>
  <si>
    <t xml:space="preserve">全場靠技能省下最多。</t>
  </si>
  <si>
    <t xml:space="preserve">topBargain</t>
  </si>
  <si>
    <t xml:space="preserve">BDG_TOP_SURVIVOR</t>
  </si>
  <si>
    <t xml:space="preserve">🪨</t>
  </si>
  <si>
    <t xml:space="preserve">最慘但沒倒的人</t>
  </si>
  <si>
    <t xml:space="preserve">全場淨值最低，但撐到最後沒有出局。</t>
  </si>
  <si>
    <t xml:space="preserve">topSurvivor</t>
  </si>
  <si>
    <t xml:space="preserve">BDG_DIRECTOR_HERO</t>
  </si>
  <si>
    <t xml:space="preserve">🚢</t>
  </si>
  <si>
    <t xml:space="preserve">人間清醒</t>
  </si>
  <si>
    <t xml:space="preserve">在獨立董事弊案爆發前夕及時跳船請辭，全身而退免除上億民事求償。</t>
  </si>
  <si>
    <t xml:space="preserve">directorHero</t>
  </si>
  <si>
    <t xml:space="preserve">BDG_SCAM_IMMUNE</t>
  </si>
  <si>
    <t xml:space="preserve">鋼鐵避險王</t>
  </si>
  <si>
    <t xml:space="preserve">運用財報審計或法規常識，識破並多次拒絕高息龐氏與假保本投資陷阱。</t>
  </si>
  <si>
    <t xml:space="preserve">scamImmune</t>
  </si>
  <si>
    <r>
      <rPr>
        <b val="true"/>
        <sz val="12"/>
        <rFont val="Arial"/>
        <family val="0"/>
        <charset val="1"/>
      </rPr>
      <t xml:space="preserve">FinFlow </t>
    </r>
    <r>
      <rPr>
        <b val="true"/>
        <sz val="12"/>
        <rFont val="Noto Sans CJK SC"/>
        <family val="2"/>
      </rPr>
      <t xml:space="preserve">內容盤點｜盤面</t>
    </r>
  </si>
  <si>
    <r>
      <rPr>
        <i val="true"/>
        <sz val="9"/>
        <color rgb="FF666666"/>
        <rFont val="Noto Sans CJK SC"/>
        <family val="2"/>
      </rPr>
      <t xml:space="preserve">內圈 </t>
    </r>
    <r>
      <rPr>
        <i val="true"/>
        <sz val="9"/>
        <color rgb="FF666666"/>
        <rFont val="Arial"/>
        <family val="0"/>
        <charset val="1"/>
      </rPr>
      <t xml:space="preserve">24 </t>
    </r>
    <r>
      <rPr>
        <i val="true"/>
        <sz val="9"/>
        <color rgb="FF666666"/>
        <rFont val="Noto Sans CJK SC"/>
        <family val="2"/>
      </rPr>
      <t xml:space="preserve">格＋外圈 </t>
    </r>
    <r>
      <rPr>
        <i val="true"/>
        <sz val="9"/>
        <color rgb="FF666666"/>
        <rFont val="Arial"/>
        <family val="0"/>
        <charset val="1"/>
      </rPr>
      <t xml:space="preserve">12 </t>
    </r>
    <r>
      <rPr>
        <i val="true"/>
        <sz val="9"/>
        <color rgb="FF666666"/>
        <rFont val="Noto Sans CJK SC"/>
        <family val="2"/>
      </rPr>
      <t xml:space="preserve">格的格子類型。</t>
    </r>
  </si>
  <si>
    <t xml:space="preserve">圈</t>
  </si>
  <si>
    <t xml:space="preserve">位置</t>
  </si>
  <si>
    <t xml:space="preserve">格子類型</t>
  </si>
  <si>
    <t xml:space="preserve">夢想類別</t>
  </si>
  <si>
    <t xml:space="preserve">其他</t>
  </si>
  <si>
    <t xml:space="preserve">內圈</t>
  </si>
  <si>
    <t xml:space="preserve">PAYDAY</t>
  </si>
  <si>
    <t xml:space="preserve">{}</t>
  </si>
  <si>
    <t xml:space="preserve">OPPORTUNITY</t>
  </si>
  <si>
    <t xml:space="preserve">LAYOFF</t>
  </si>
  <si>
    <t xml:space="preserve">外圈（夢想圈）</t>
  </si>
  <si>
    <t xml:space="preserve">OPAYDAY</t>
  </si>
  <si>
    <t xml:space="preserve">SITE</t>
  </si>
  <si>
    <t xml:space="preserve">OEVENT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</si>
</sst>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  <c r="C6" s="4" t="n">
        <f aca="false">COUNTA(職業!A5:A24)</f>
        <v>20</v>
      </c>
      <c r="D6" s="6" t="s">
        <v>9</v>
      </c>
    </row>
    <row r="7" customFormat="false" ht="15" hidden="false" customHeight="false" outlineLevel="0" collapsed="false">
      <c r="A7" s="4" t="s">
        <v>10</v>
      </c>
      <c r="B7" s="5" t="s">
        <v>11</v>
      </c>
      <c r="C7" s="4" t="n">
        <f aca="false">COUNTA(電腦玩家性格!A5:A7)</f>
        <v>3</v>
      </c>
      <c r="D7" s="6" t="s">
        <v>12</v>
      </c>
    </row>
    <row r="8" customFormat="false" ht="15" hidden="false" customHeight="false" outlineLevel="0" collapsed="false">
      <c r="A8" s="4" t="s">
        <v>13</v>
      </c>
      <c r="B8" s="5" t="s">
        <v>14</v>
      </c>
      <c r="C8" s="4" t="n">
        <f aca="false">COUNTA(夢想!A5:A12)</f>
        <v>8</v>
      </c>
      <c r="D8" s="6" t="s">
        <v>15</v>
      </c>
    </row>
    <row r="9" customFormat="false" ht="15" hidden="false" customHeight="false" outlineLevel="0" collapsed="false">
      <c r="A9" s="4" t="s">
        <v>16</v>
      </c>
      <c r="B9" s="5" t="s">
        <v>17</v>
      </c>
      <c r="C9" s="4" t="n">
        <f aca="false">COUNTA(股票設定!A5:A8)</f>
        <v>4</v>
      </c>
      <c r="D9" s="6" t="s">
        <v>18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4" t="n">
        <f aca="false">COUNTA(股票掛單卡!A5:A14)</f>
        <v>10</v>
      </c>
      <c r="D10" s="6" t="s">
        <v>21</v>
      </c>
    </row>
    <row r="11" customFormat="false" ht="29.85" hidden="false" customHeight="false" outlineLevel="0" collapsed="false">
      <c r="A11" s="4" t="s">
        <v>22</v>
      </c>
      <c r="B11" s="4" t="s">
        <v>23</v>
      </c>
      <c r="C11" s="4" t="n">
        <f aca="false">COUNTA(機會卡!A5:A70)</f>
        <v>66</v>
      </c>
      <c r="D11" s="7" t="s">
        <v>24</v>
      </c>
    </row>
    <row r="12" customFormat="false" ht="29.85" hidden="false" customHeight="false" outlineLevel="0" collapsed="false">
      <c r="A12" s="4" t="s">
        <v>25</v>
      </c>
      <c r="B12" s="5" t="s">
        <v>26</v>
      </c>
      <c r="C12" s="4" t="n">
        <f aca="false">COUNTA(人生事件卡!A5:A64)</f>
        <v>60</v>
      </c>
      <c r="D12" s="6" t="s">
        <v>27</v>
      </c>
    </row>
    <row r="13" customFormat="false" ht="15" hidden="false" customHeight="false" outlineLevel="0" collapsed="false">
      <c r="A13" s="4" t="s">
        <v>28</v>
      </c>
      <c r="B13" s="5" t="s">
        <v>29</v>
      </c>
      <c r="C13" s="4" t="n">
        <f aca="false">COUNTA(生活消費卡!A5:A28)</f>
        <v>24</v>
      </c>
      <c r="D13" s="6" t="s">
        <v>30</v>
      </c>
    </row>
    <row r="14" customFormat="false" ht="15" hidden="false" customHeight="false" outlineLevel="0" collapsed="false">
      <c r="A14" s="4" t="s">
        <v>31</v>
      </c>
      <c r="B14" s="5" t="s">
        <v>32</v>
      </c>
      <c r="C14" s="4" t="n">
        <f aca="false">COUNTA(市場與總經卡!A5:A36)</f>
        <v>32</v>
      </c>
      <c r="D14" s="6" t="s">
        <v>33</v>
      </c>
    </row>
    <row r="15" customFormat="false" ht="29.85" hidden="false" customHeight="false" outlineLevel="0" collapsed="false">
      <c r="A15" s="4" t="s">
        <v>34</v>
      </c>
      <c r="B15" s="5" t="s">
        <v>35</v>
      </c>
      <c r="C15" s="4" t="n">
        <f aca="false">COUNTA(品格帳本卡!A5:A330)</f>
        <v>326</v>
      </c>
      <c r="D15" s="6" t="s">
        <v>36</v>
      </c>
    </row>
    <row r="16" customFormat="false" ht="29.85" hidden="false" customHeight="false" outlineLevel="0" collapsed="false">
      <c r="A16" s="4" t="s">
        <v>37</v>
      </c>
      <c r="B16" s="5" t="s">
        <v>38</v>
      </c>
      <c r="C16" s="4" t="n">
        <f aca="false">COUNTA(人生商城!A5:A30)</f>
        <v>26</v>
      </c>
      <c r="D16" s="6" t="s">
        <v>39</v>
      </c>
    </row>
    <row r="17" customFormat="false" ht="29.85" hidden="false" customHeight="false" outlineLevel="0" collapsed="false">
      <c r="A17" s="4" t="s">
        <v>40</v>
      </c>
      <c r="B17" s="5" t="s">
        <v>41</v>
      </c>
      <c r="C17" s="4" t="n">
        <f aca="false">COUNTA('學習-技能'!A5:A22)</f>
        <v>18</v>
      </c>
      <c r="D17" s="6" t="s">
        <v>42</v>
      </c>
    </row>
    <row r="18" customFormat="false" ht="29.85" hidden="false" customHeight="false" outlineLevel="0" collapsed="false">
      <c r="A18" s="4" t="s">
        <v>43</v>
      </c>
      <c r="B18" s="5" t="s">
        <v>44</v>
      </c>
      <c r="C18" s="4" t="n">
        <f aca="false">COUNTA('學習-情境卡'!A5:A16)</f>
        <v>12</v>
      </c>
      <c r="D18" s="6" t="s">
        <v>45</v>
      </c>
    </row>
    <row r="19" customFormat="false" ht="29.85" hidden="false" customHeight="false" outlineLevel="0" collapsed="false">
      <c r="A19" s="4" t="s">
        <v>46</v>
      </c>
      <c r="B19" s="5" t="s">
        <v>47</v>
      </c>
      <c r="C19" s="4" t="n">
        <f aca="false">COUNTA('學習-數位資產'!A5:A10)</f>
        <v>6</v>
      </c>
      <c r="D19" s="6" t="s">
        <v>48</v>
      </c>
    </row>
    <row r="20" customFormat="false" ht="15" hidden="false" customHeight="false" outlineLevel="0" collapsed="false">
      <c r="A20" s="4" t="s">
        <v>49</v>
      </c>
      <c r="B20" s="5" t="s">
        <v>50</v>
      </c>
      <c r="C20" s="4" t="n">
        <f aca="false">COUNTA(徽章!A5:A33)</f>
        <v>29</v>
      </c>
      <c r="D20" s="6" t="s">
        <v>51</v>
      </c>
    </row>
    <row r="21" customFormat="false" ht="15" hidden="false" customHeight="false" outlineLevel="0" collapsed="false">
      <c r="A21" s="4" t="s">
        <v>52</v>
      </c>
      <c r="B21" s="4" t="s">
        <v>53</v>
      </c>
      <c r="C21" s="4" t="n">
        <f aca="false">COUNTA(盤面!A5:A40)</f>
        <v>36</v>
      </c>
      <c r="D21" s="7" t="s">
        <v>54</v>
      </c>
    </row>
    <row r="22" customFormat="false" ht="15" hidden="false" customHeight="false" outlineLevel="0" collapsed="false">
      <c r="A22" s="8" t="s">
        <v>55</v>
      </c>
      <c r="C22" s="8" t="n">
        <f aca="false">SUM(C6:C21)</f>
        <v>680</v>
      </c>
    </row>
    <row r="24" customFormat="false" ht="15" hidden="false" customHeight="false" outlineLevel="0" collapsed="false">
      <c r="A24" s="8" t="s">
        <v>56</v>
      </c>
    </row>
    <row r="25" customFormat="false" ht="15" hidden="false" customHeight="false" outlineLevel="0" collapsed="false">
      <c r="A25" s="4" t="s">
        <v>22</v>
      </c>
      <c r="B25" s="5" t="s">
        <v>57</v>
      </c>
    </row>
    <row r="26" customFormat="false" ht="15" hidden="false" customHeight="false" outlineLevel="0" collapsed="false">
      <c r="A26" s="4" t="s">
        <v>25</v>
      </c>
      <c r="B26" s="5" t="s">
        <v>58</v>
      </c>
    </row>
    <row r="27" customFormat="false" ht="15" hidden="false" customHeight="false" outlineLevel="0" collapsed="false">
      <c r="A27" s="4" t="s">
        <v>28</v>
      </c>
      <c r="B27" s="5" t="s">
        <v>59</v>
      </c>
    </row>
    <row r="28" customFormat="false" ht="15" hidden="false" customHeight="false" outlineLevel="0" collapsed="false">
      <c r="A28" s="4" t="s">
        <v>31</v>
      </c>
      <c r="B28" s="5" t="s">
        <v>60</v>
      </c>
    </row>
    <row r="29" customFormat="false" ht="15" hidden="false" customHeight="false" outlineLevel="0" collapsed="false">
      <c r="A29" s="4" t="s">
        <v>34</v>
      </c>
      <c r="B29" s="5" t="s">
        <v>61</v>
      </c>
    </row>
    <row r="30" customFormat="false" ht="15" hidden="false" customHeight="false" outlineLevel="0" collapsed="false">
      <c r="A30" s="4" t="s">
        <v>37</v>
      </c>
      <c r="B30" s="5" t="s">
        <v>62</v>
      </c>
    </row>
    <row r="31" customFormat="false" ht="15" hidden="false" customHeight="false" outlineLevel="0" collapsed="false">
      <c r="A31" s="4" t="s">
        <v>63</v>
      </c>
      <c r="B31" s="5" t="s">
        <v>64</v>
      </c>
    </row>
    <row r="32" customFormat="false" ht="15" hidden="false" customHeight="false" outlineLevel="0" collapsed="false">
      <c r="A32" s="4" t="s">
        <v>49</v>
      </c>
      <c r="B32" s="5" t="s">
        <v>65</v>
      </c>
    </row>
    <row r="33" customFormat="false" ht="15" hidden="false" customHeight="false" outlineLevel="0" collapsed="false">
      <c r="A33" s="4" t="s">
        <v>13</v>
      </c>
      <c r="B33" s="5" t="s">
        <v>66</v>
      </c>
    </row>
    <row r="34" customFormat="false" ht="15" hidden="false" customHeight="false" outlineLevel="0" collapsed="false">
      <c r="A34" s="4" t="s">
        <v>19</v>
      </c>
      <c r="B34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44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2" min="12" style="0" width="18"/>
    <col collapsed="false" customWidth="true" hidden="false" outlineLevel="0" max="13" min="13" style="0" width="9"/>
    <col collapsed="false" customWidth="true" hidden="false" outlineLevel="0" max="14" min="14" style="0" width="34"/>
    <col collapsed="false" customWidth="true" hidden="false" outlineLevel="0" max="15" min="15" style="0" width="10"/>
  </cols>
  <sheetData>
    <row r="1" customFormat="false" ht="19.4" hidden="false" customHeight="false" outlineLevel="0" collapsed="false">
      <c r="A1" s="9" t="s">
        <v>68</v>
      </c>
    </row>
    <row r="2" customFormat="false" ht="15" hidden="false" customHeight="false" outlineLevel="0" collapsed="false">
      <c r="A2" s="10" t="s">
        <v>69</v>
      </c>
    </row>
    <row r="4" customFormat="false" ht="30" hidden="false" customHeight="true" outlineLevel="0" collapsed="false">
      <c r="A4" s="11" t="s">
        <v>70</v>
      </c>
      <c r="B4" s="12" t="s">
        <v>7</v>
      </c>
      <c r="C4" s="12" t="s">
        <v>71</v>
      </c>
      <c r="D4" s="12" t="s">
        <v>72</v>
      </c>
      <c r="E4" s="12" t="s">
        <v>73</v>
      </c>
      <c r="F4" s="12" t="s">
        <v>74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s">
        <v>80</v>
      </c>
      <c r="M4" s="12" t="s">
        <v>81</v>
      </c>
      <c r="N4" s="12" t="s">
        <v>82</v>
      </c>
      <c r="O4" s="12" t="s">
        <v>83</v>
      </c>
    </row>
    <row r="5" customFormat="false" ht="15" hidden="false" customHeight="false" outlineLevel="0" collapsed="false">
      <c r="A5" s="13" t="s">
        <v>84</v>
      </c>
      <c r="B5" s="14" t="s">
        <v>85</v>
      </c>
      <c r="C5" s="14" t="s">
        <v>86</v>
      </c>
      <c r="D5" s="14" t="n">
        <v>30</v>
      </c>
      <c r="E5" s="14" t="n">
        <v>22</v>
      </c>
      <c r="F5" s="14" t="n">
        <f aca="false">D5-E5</f>
        <v>8</v>
      </c>
      <c r="G5" s="14" t="n">
        <v>8</v>
      </c>
      <c r="H5" s="14" t="n">
        <v>50</v>
      </c>
      <c r="I5" s="15"/>
      <c r="J5" s="14"/>
      <c r="K5" s="14" t="n">
        <v>0</v>
      </c>
      <c r="L5" s="14"/>
      <c r="M5" s="14"/>
      <c r="N5" s="16" t="s">
        <v>87</v>
      </c>
      <c r="O5" s="13" t="s">
        <v>88</v>
      </c>
    </row>
    <row r="6" customFormat="false" ht="15" hidden="false" customHeight="false" outlineLevel="0" collapsed="false">
      <c r="A6" s="13" t="s">
        <v>89</v>
      </c>
      <c r="B6" s="14" t="s">
        <v>90</v>
      </c>
      <c r="C6" s="14" t="s">
        <v>91</v>
      </c>
      <c r="D6" s="14" t="n">
        <v>34</v>
      </c>
      <c r="E6" s="14" t="n">
        <v>20</v>
      </c>
      <c r="F6" s="14" t="n">
        <f aca="false">D6-E6</f>
        <v>14</v>
      </c>
      <c r="G6" s="14" t="n">
        <v>8</v>
      </c>
      <c r="H6" s="14" t="n">
        <v>60</v>
      </c>
      <c r="I6" s="16" t="s">
        <v>92</v>
      </c>
      <c r="J6" s="14"/>
      <c r="K6" s="14" t="n">
        <v>0.3</v>
      </c>
      <c r="L6" s="14"/>
      <c r="M6" s="14"/>
      <c r="N6" s="16" t="s">
        <v>93</v>
      </c>
      <c r="O6" s="13" t="s">
        <v>88</v>
      </c>
    </row>
    <row r="7" customFormat="false" ht="15" hidden="false" customHeight="false" outlineLevel="0" collapsed="false">
      <c r="A7" s="13" t="s">
        <v>94</v>
      </c>
      <c r="B7" s="14" t="s">
        <v>95</v>
      </c>
      <c r="C7" s="14" t="s">
        <v>96</v>
      </c>
      <c r="D7" s="14" t="n">
        <v>40</v>
      </c>
      <c r="E7" s="14" t="n">
        <v>25</v>
      </c>
      <c r="F7" s="14" t="n">
        <f aca="false">D7-E7</f>
        <v>15</v>
      </c>
      <c r="G7" s="14" t="n">
        <v>9</v>
      </c>
      <c r="H7" s="14" t="n">
        <v>100</v>
      </c>
      <c r="I7" s="16" t="s">
        <v>97</v>
      </c>
      <c r="J7" s="14"/>
      <c r="K7" s="14" t="n">
        <v>0</v>
      </c>
      <c r="L7" s="14"/>
      <c r="M7" s="14"/>
      <c r="N7" s="16" t="s">
        <v>98</v>
      </c>
      <c r="O7" s="13" t="s">
        <v>88</v>
      </c>
    </row>
    <row r="8" customFormat="false" ht="15" hidden="false" customHeight="false" outlineLevel="0" collapsed="false">
      <c r="A8" s="13" t="s">
        <v>99</v>
      </c>
      <c r="B8" s="14" t="s">
        <v>100</v>
      </c>
      <c r="C8" s="14" t="s">
        <v>86</v>
      </c>
      <c r="D8" s="14" t="n">
        <v>42</v>
      </c>
      <c r="E8" s="14" t="n">
        <v>24</v>
      </c>
      <c r="F8" s="14" t="n">
        <f aca="false">D8-E8</f>
        <v>18</v>
      </c>
      <c r="G8" s="14" t="n">
        <v>9</v>
      </c>
      <c r="H8" s="14" t="n">
        <v>80</v>
      </c>
      <c r="I8" s="16" t="s">
        <v>97</v>
      </c>
      <c r="J8" s="14"/>
      <c r="K8" s="14" t="n">
        <v>0.1</v>
      </c>
      <c r="L8" s="14"/>
      <c r="M8" s="14"/>
      <c r="N8" s="16" t="s">
        <v>101</v>
      </c>
      <c r="O8" s="13" t="s">
        <v>88</v>
      </c>
    </row>
    <row r="9" customFormat="false" ht="15" hidden="false" customHeight="false" outlineLevel="0" collapsed="false">
      <c r="A9" s="13" t="s">
        <v>102</v>
      </c>
      <c r="B9" s="14" t="s">
        <v>103</v>
      </c>
      <c r="C9" s="14" t="s">
        <v>104</v>
      </c>
      <c r="D9" s="14" t="n">
        <v>42</v>
      </c>
      <c r="E9" s="14" t="n">
        <v>27</v>
      </c>
      <c r="F9" s="14" t="n">
        <f aca="false">D9-E9</f>
        <v>15</v>
      </c>
      <c r="G9" s="14" t="n">
        <v>10</v>
      </c>
      <c r="H9" s="14" t="n">
        <v>100</v>
      </c>
      <c r="I9" s="16" t="s">
        <v>105</v>
      </c>
      <c r="J9" s="14"/>
      <c r="K9" s="14" t="n">
        <v>0</v>
      </c>
      <c r="L9" s="14"/>
      <c r="M9" s="14"/>
      <c r="N9" s="15" t="s">
        <v>106</v>
      </c>
      <c r="O9" s="13" t="s">
        <v>88</v>
      </c>
    </row>
    <row r="10" customFormat="false" ht="15" hidden="false" customHeight="false" outlineLevel="0" collapsed="false">
      <c r="A10" s="13" t="s">
        <v>107</v>
      </c>
      <c r="B10" s="14" t="s">
        <v>108</v>
      </c>
      <c r="C10" s="14" t="s">
        <v>104</v>
      </c>
      <c r="D10" s="14" t="n">
        <v>48</v>
      </c>
      <c r="E10" s="14" t="n">
        <v>28</v>
      </c>
      <c r="F10" s="14" t="n">
        <f aca="false">D10-E10</f>
        <v>20</v>
      </c>
      <c r="G10" s="14" t="n">
        <v>10</v>
      </c>
      <c r="H10" s="14" t="n">
        <v>120</v>
      </c>
      <c r="I10" s="16" t="s">
        <v>109</v>
      </c>
      <c r="J10" s="14"/>
      <c r="K10" s="14" t="n">
        <v>0</v>
      </c>
      <c r="L10" s="13" t="s">
        <v>110</v>
      </c>
      <c r="M10" s="14"/>
      <c r="N10" s="16" t="s">
        <v>111</v>
      </c>
      <c r="O10" s="13" t="s">
        <v>88</v>
      </c>
    </row>
    <row r="11" customFormat="false" ht="15" hidden="false" customHeight="false" outlineLevel="0" collapsed="false">
      <c r="A11" s="13" t="s">
        <v>112</v>
      </c>
      <c r="B11" s="14" t="s">
        <v>113</v>
      </c>
      <c r="C11" s="14" t="s">
        <v>114</v>
      </c>
      <c r="D11" s="14" t="n">
        <v>55</v>
      </c>
      <c r="E11" s="14" t="n">
        <v>30</v>
      </c>
      <c r="F11" s="14" t="n">
        <f aca="false">D11-E11</f>
        <v>25</v>
      </c>
      <c r="G11" s="14" t="n">
        <v>10</v>
      </c>
      <c r="H11" s="14" t="n">
        <v>200</v>
      </c>
      <c r="I11" s="16" t="s">
        <v>115</v>
      </c>
      <c r="J11" s="14"/>
      <c r="K11" s="14" t="n">
        <v>0</v>
      </c>
      <c r="L11" s="14"/>
      <c r="M11" s="14"/>
      <c r="N11" s="16" t="s">
        <v>116</v>
      </c>
      <c r="O11" s="13" t="s">
        <v>88</v>
      </c>
    </row>
    <row r="12" customFormat="false" ht="15" hidden="false" customHeight="false" outlineLevel="0" collapsed="false">
      <c r="A12" s="13" t="s">
        <v>117</v>
      </c>
      <c r="B12" s="14" t="s">
        <v>118</v>
      </c>
      <c r="C12" s="14" t="s">
        <v>86</v>
      </c>
      <c r="D12" s="14" t="n">
        <v>58</v>
      </c>
      <c r="E12" s="14" t="n">
        <v>32</v>
      </c>
      <c r="F12" s="14" t="n">
        <f aca="false">D12-E12</f>
        <v>26</v>
      </c>
      <c r="G12" s="14" t="n">
        <v>10</v>
      </c>
      <c r="H12" s="14" t="n">
        <v>350</v>
      </c>
      <c r="I12" s="16"/>
      <c r="J12" s="14"/>
      <c r="K12" s="14" t="n">
        <v>0</v>
      </c>
      <c r="L12" s="14"/>
      <c r="M12" s="14"/>
      <c r="N12" s="16" t="s">
        <v>119</v>
      </c>
      <c r="O12" s="13" t="s">
        <v>88</v>
      </c>
    </row>
    <row r="13" customFormat="false" ht="15" hidden="false" customHeight="false" outlineLevel="0" collapsed="false">
      <c r="A13" s="13" t="s">
        <v>120</v>
      </c>
      <c r="B13" s="14" t="s">
        <v>121</v>
      </c>
      <c r="C13" s="14" t="s">
        <v>104</v>
      </c>
      <c r="D13" s="14" t="n">
        <v>58</v>
      </c>
      <c r="E13" s="14" t="n">
        <v>34</v>
      </c>
      <c r="F13" s="14" t="n">
        <f aca="false">D13-E13</f>
        <v>24</v>
      </c>
      <c r="G13" s="14" t="n">
        <v>11</v>
      </c>
      <c r="H13" s="14" t="n">
        <v>200</v>
      </c>
      <c r="I13" s="16" t="s">
        <v>115</v>
      </c>
      <c r="J13" s="14"/>
      <c r="K13" s="14" t="n">
        <v>0.25</v>
      </c>
      <c r="L13" s="14"/>
      <c r="M13" s="14"/>
      <c r="N13" s="16" t="s">
        <v>122</v>
      </c>
      <c r="O13" s="13" t="s">
        <v>88</v>
      </c>
    </row>
    <row r="14" customFormat="false" ht="15" hidden="false" customHeight="false" outlineLevel="0" collapsed="false">
      <c r="A14" s="13" t="s">
        <v>123</v>
      </c>
      <c r="B14" s="14" t="s">
        <v>124</v>
      </c>
      <c r="C14" s="14" t="s">
        <v>96</v>
      </c>
      <c r="D14" s="14" t="n">
        <v>65</v>
      </c>
      <c r="E14" s="14" t="n">
        <v>35</v>
      </c>
      <c r="F14" s="14" t="n">
        <f aca="false">D14-E14</f>
        <v>30</v>
      </c>
      <c r="G14" s="14" t="n">
        <v>11</v>
      </c>
      <c r="H14" s="14" t="n">
        <v>250</v>
      </c>
      <c r="I14" s="16" t="s">
        <v>125</v>
      </c>
      <c r="J14" s="14"/>
      <c r="K14" s="14" t="n">
        <v>0.25</v>
      </c>
      <c r="L14" s="14"/>
      <c r="M14" s="14"/>
      <c r="N14" s="16" t="s">
        <v>126</v>
      </c>
      <c r="O14" s="13" t="s">
        <v>88</v>
      </c>
    </row>
    <row r="15" customFormat="false" ht="15" hidden="false" customHeight="false" outlineLevel="0" collapsed="false">
      <c r="A15" s="13" t="s">
        <v>127</v>
      </c>
      <c r="B15" s="14" t="s">
        <v>128</v>
      </c>
      <c r="C15" s="14" t="s">
        <v>104</v>
      </c>
      <c r="D15" s="14" t="n">
        <v>68</v>
      </c>
      <c r="E15" s="14" t="n">
        <v>36</v>
      </c>
      <c r="F15" s="14" t="n">
        <f aca="false">D15-E15</f>
        <v>32</v>
      </c>
      <c r="G15" s="14" t="n">
        <v>11</v>
      </c>
      <c r="H15" s="14" t="n">
        <v>300</v>
      </c>
      <c r="I15" s="16" t="s">
        <v>109</v>
      </c>
      <c r="J15" s="14"/>
      <c r="K15" s="14" t="n">
        <v>0</v>
      </c>
      <c r="L15" s="14"/>
      <c r="M15" s="14"/>
      <c r="N15" s="16" t="s">
        <v>129</v>
      </c>
      <c r="O15" s="13" t="s">
        <v>88</v>
      </c>
    </row>
    <row r="16" customFormat="false" ht="15" hidden="false" customHeight="false" outlineLevel="0" collapsed="false">
      <c r="A16" s="13" t="s">
        <v>130</v>
      </c>
      <c r="B16" s="14" t="s">
        <v>131</v>
      </c>
      <c r="C16" s="14" t="s">
        <v>104</v>
      </c>
      <c r="D16" s="14" t="n">
        <v>72</v>
      </c>
      <c r="E16" s="14" t="n">
        <v>42</v>
      </c>
      <c r="F16" s="14" t="n">
        <f aca="false">D16-E16</f>
        <v>30</v>
      </c>
      <c r="G16" s="14" t="n">
        <v>12</v>
      </c>
      <c r="H16" s="14" t="n">
        <v>250</v>
      </c>
      <c r="I16" s="16" t="s">
        <v>105</v>
      </c>
      <c r="J16" s="14"/>
      <c r="K16" s="14" t="n">
        <v>0.15</v>
      </c>
      <c r="L16" s="14"/>
      <c r="M16" s="14"/>
      <c r="N16" s="16" t="s">
        <v>132</v>
      </c>
      <c r="O16" s="13" t="s">
        <v>88</v>
      </c>
    </row>
    <row r="17" customFormat="false" ht="15" hidden="false" customHeight="false" outlineLevel="0" collapsed="false">
      <c r="A17" s="13" t="s">
        <v>133</v>
      </c>
      <c r="B17" s="14" t="s">
        <v>134</v>
      </c>
      <c r="C17" s="14" t="s">
        <v>135</v>
      </c>
      <c r="D17" s="14" t="n">
        <v>75</v>
      </c>
      <c r="E17" s="14" t="n">
        <v>38</v>
      </c>
      <c r="F17" s="14" t="n">
        <f aca="false">D17-E17</f>
        <v>37</v>
      </c>
      <c r="G17" s="14" t="n">
        <v>12</v>
      </c>
      <c r="H17" s="14" t="n">
        <v>400</v>
      </c>
      <c r="I17" s="16" t="s">
        <v>109</v>
      </c>
      <c r="J17" s="14"/>
      <c r="K17" s="14" t="n">
        <v>0</v>
      </c>
      <c r="L17" s="14"/>
      <c r="M17" s="14"/>
      <c r="N17" s="16" t="s">
        <v>136</v>
      </c>
      <c r="O17" s="13" t="s">
        <v>88</v>
      </c>
    </row>
    <row r="18" customFormat="false" ht="15" hidden="false" customHeight="false" outlineLevel="0" collapsed="false">
      <c r="A18" s="13" t="s">
        <v>137</v>
      </c>
      <c r="B18" s="14" t="s">
        <v>138</v>
      </c>
      <c r="C18" s="14" t="s">
        <v>139</v>
      </c>
      <c r="D18" s="14" t="n">
        <v>80</v>
      </c>
      <c r="E18" s="14" t="n">
        <v>45</v>
      </c>
      <c r="F18" s="14" t="n">
        <f aca="false">D18-E18</f>
        <v>35</v>
      </c>
      <c r="G18" s="14" t="n">
        <v>12</v>
      </c>
      <c r="H18" s="14" t="n">
        <v>150</v>
      </c>
      <c r="I18" s="16" t="s">
        <v>140</v>
      </c>
      <c r="J18" s="14"/>
      <c r="K18" s="14" t="n">
        <v>0.2</v>
      </c>
      <c r="L18" s="14"/>
      <c r="M18" s="14"/>
      <c r="N18" s="16" t="s">
        <v>141</v>
      </c>
      <c r="O18" s="13" t="s">
        <v>88</v>
      </c>
    </row>
    <row r="19" customFormat="false" ht="29.85" hidden="false" customHeight="false" outlineLevel="0" collapsed="false">
      <c r="A19" s="13" t="s">
        <v>142</v>
      </c>
      <c r="B19" s="14" t="s">
        <v>143</v>
      </c>
      <c r="C19" s="14" t="s">
        <v>139</v>
      </c>
      <c r="D19" s="14" t="n">
        <v>90</v>
      </c>
      <c r="E19" s="14" t="n">
        <v>55</v>
      </c>
      <c r="F19" s="14" t="n">
        <f aca="false">D19-E19</f>
        <v>35</v>
      </c>
      <c r="G19" s="14" t="n">
        <v>13</v>
      </c>
      <c r="H19" s="14" t="n">
        <v>300</v>
      </c>
      <c r="I19" s="16" t="s">
        <v>144</v>
      </c>
      <c r="J19" s="14"/>
      <c r="K19" s="14" t="n">
        <v>0.15</v>
      </c>
      <c r="L19" s="14"/>
      <c r="M19" s="14"/>
      <c r="N19" s="16" t="s">
        <v>145</v>
      </c>
      <c r="O19" s="13" t="s">
        <v>88</v>
      </c>
    </row>
    <row r="20" customFormat="false" ht="15" hidden="false" customHeight="false" outlineLevel="0" collapsed="false">
      <c r="A20" s="13" t="s">
        <v>146</v>
      </c>
      <c r="B20" s="14" t="s">
        <v>147</v>
      </c>
      <c r="C20" s="14" t="s">
        <v>104</v>
      </c>
      <c r="D20" s="14" t="n">
        <v>95</v>
      </c>
      <c r="E20" s="14" t="n">
        <v>52</v>
      </c>
      <c r="F20" s="14" t="n">
        <f aca="false">D20-E20</f>
        <v>43</v>
      </c>
      <c r="G20" s="14" t="n">
        <v>14</v>
      </c>
      <c r="H20" s="14" t="n">
        <v>400</v>
      </c>
      <c r="I20" s="16" t="s">
        <v>148</v>
      </c>
      <c r="J20" s="14"/>
      <c r="K20" s="14" t="n">
        <v>0</v>
      </c>
      <c r="L20" s="14"/>
      <c r="M20" s="14"/>
      <c r="N20" s="16" t="s">
        <v>149</v>
      </c>
      <c r="O20" s="13" t="s">
        <v>88</v>
      </c>
    </row>
    <row r="21" customFormat="false" ht="15" hidden="false" customHeight="false" outlineLevel="0" collapsed="false">
      <c r="A21" s="13" t="s">
        <v>150</v>
      </c>
      <c r="B21" s="14" t="s">
        <v>151</v>
      </c>
      <c r="C21" s="14" t="s">
        <v>135</v>
      </c>
      <c r="D21" s="14" t="n">
        <v>110</v>
      </c>
      <c r="E21" s="14" t="n">
        <v>48</v>
      </c>
      <c r="F21" s="14" t="n">
        <f aca="false">D21-E21</f>
        <v>62</v>
      </c>
      <c r="G21" s="14" t="n">
        <v>14</v>
      </c>
      <c r="H21" s="14" t="n">
        <v>500</v>
      </c>
      <c r="I21" s="16" t="s">
        <v>109</v>
      </c>
      <c r="J21" s="14"/>
      <c r="K21" s="14" t="n">
        <v>0</v>
      </c>
      <c r="L21" s="13" t="s">
        <v>152</v>
      </c>
      <c r="M21" s="14"/>
      <c r="N21" s="16" t="s">
        <v>153</v>
      </c>
      <c r="O21" s="13" t="s">
        <v>88</v>
      </c>
    </row>
    <row r="22" customFormat="false" ht="15" hidden="false" customHeight="false" outlineLevel="0" collapsed="false">
      <c r="A22" s="13" t="s">
        <v>154</v>
      </c>
      <c r="B22" s="14" t="s">
        <v>155</v>
      </c>
      <c r="C22" s="14" t="s">
        <v>104</v>
      </c>
      <c r="D22" s="14" t="n">
        <v>165</v>
      </c>
      <c r="E22" s="14" t="n">
        <v>92</v>
      </c>
      <c r="F22" s="14" t="n">
        <f aca="false">D22-E22</f>
        <v>73</v>
      </c>
      <c r="G22" s="14" t="n">
        <v>18</v>
      </c>
      <c r="H22" s="14" t="n">
        <v>500</v>
      </c>
      <c r="I22" s="15" t="s">
        <v>156</v>
      </c>
      <c r="J22" s="14"/>
      <c r="K22" s="14" t="n">
        <v>0</v>
      </c>
      <c r="L22" s="14"/>
      <c r="M22" s="14"/>
      <c r="N22" s="16" t="s">
        <v>157</v>
      </c>
      <c r="O22" s="13" t="s">
        <v>88</v>
      </c>
    </row>
    <row r="23" customFormat="false" ht="15" hidden="false" customHeight="false" outlineLevel="0" collapsed="false">
      <c r="A23" s="13" t="s">
        <v>158</v>
      </c>
      <c r="B23" s="14" t="s">
        <v>159</v>
      </c>
      <c r="C23" s="14" t="s">
        <v>104</v>
      </c>
      <c r="D23" s="14" t="n">
        <v>36</v>
      </c>
      <c r="E23" s="14" t="n">
        <v>30</v>
      </c>
      <c r="F23" s="14" t="n">
        <f aca="false">D23-E23</f>
        <v>6</v>
      </c>
      <c r="G23" s="14" t="n">
        <v>10</v>
      </c>
      <c r="H23" s="14" t="n">
        <v>150</v>
      </c>
      <c r="I23" s="16" t="s">
        <v>160</v>
      </c>
      <c r="J23" s="13" t="s">
        <v>161</v>
      </c>
      <c r="K23" s="14" t="n">
        <v>0.2</v>
      </c>
      <c r="L23" s="14"/>
      <c r="M23" s="13" t="s">
        <v>162</v>
      </c>
      <c r="N23" s="16" t="s">
        <v>163</v>
      </c>
      <c r="O23" s="13" t="s">
        <v>88</v>
      </c>
    </row>
    <row r="24" customFormat="false" ht="29.85" hidden="false" customHeight="false" outlineLevel="0" collapsed="false">
      <c r="A24" s="13" t="s">
        <v>164</v>
      </c>
      <c r="B24" s="14" t="s">
        <v>165</v>
      </c>
      <c r="C24" s="14" t="s">
        <v>114</v>
      </c>
      <c r="D24" s="14" t="n">
        <v>280</v>
      </c>
      <c r="E24" s="14" t="n">
        <v>165</v>
      </c>
      <c r="F24" s="14" t="n">
        <f aca="false">D24-E24</f>
        <v>115</v>
      </c>
      <c r="G24" s="14" t="n">
        <v>25</v>
      </c>
      <c r="H24" s="14" t="n">
        <v>800</v>
      </c>
      <c r="I24" s="16" t="s">
        <v>166</v>
      </c>
      <c r="J24" s="14"/>
      <c r="K24" s="14" t="n">
        <v>0</v>
      </c>
      <c r="L24" s="14"/>
      <c r="M24" s="14"/>
      <c r="N24" s="16" t="s">
        <v>167</v>
      </c>
      <c r="O24" s="13" t="s">
        <v>88</v>
      </c>
    </row>
    <row r="26" customFormat="false" ht="15" hidden="false" customHeight="false" outlineLevel="0" collapsed="false">
      <c r="A26" s="8" t="s">
        <v>168</v>
      </c>
      <c r="D26" s="17" t="n">
        <f aca="false">AVERAGE(D5:D24)</f>
        <v>77.15</v>
      </c>
      <c r="E26" s="17" t="n">
        <f aca="false">AVERAGE(E5:E24)</f>
        <v>44</v>
      </c>
      <c r="F26" s="17" t="n">
        <f aca="false">AVERAGE(F5:F24)</f>
        <v>33.15</v>
      </c>
      <c r="H26" s="17" t="n">
        <f aca="false">AVERAGE(H5:H24)</f>
        <v>263</v>
      </c>
    </row>
    <row r="27" customFormat="false" ht="15" hidden="false" customHeight="false" outlineLevel="0" collapsed="false">
      <c r="A27" s="2" t="s">
        <v>169</v>
      </c>
    </row>
  </sheetData>
  <autoFilter ref="A4:O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9" t="s">
        <v>170</v>
      </c>
    </row>
    <row r="2" customFormat="false" ht="15" hidden="false" customHeight="false" outlineLevel="0" collapsed="false">
      <c r="A2" s="10" t="s">
        <v>171</v>
      </c>
    </row>
    <row r="4" customFormat="false" ht="30" hidden="false" customHeight="true" outlineLevel="0" collapsed="false">
      <c r="A4" s="11" t="s">
        <v>70</v>
      </c>
      <c r="B4" s="12" t="s">
        <v>172</v>
      </c>
      <c r="C4" s="12" t="s">
        <v>173</v>
      </c>
      <c r="D4" s="12" t="s">
        <v>174</v>
      </c>
      <c r="E4" s="12" t="s">
        <v>175</v>
      </c>
      <c r="F4" s="12" t="s">
        <v>176</v>
      </c>
      <c r="G4" s="12" t="s">
        <v>177</v>
      </c>
      <c r="H4" s="12" t="s">
        <v>178</v>
      </c>
      <c r="I4" s="12" t="s">
        <v>179</v>
      </c>
      <c r="J4" s="12" t="s">
        <v>180</v>
      </c>
      <c r="K4" s="12" t="s">
        <v>83</v>
      </c>
    </row>
    <row r="5" customFormat="false" ht="15" hidden="false" customHeight="false" outlineLevel="0" collapsed="false">
      <c r="A5" s="13" t="s">
        <v>181</v>
      </c>
      <c r="B5" s="14" t="s">
        <v>182</v>
      </c>
      <c r="C5" s="13" t="s">
        <v>183</v>
      </c>
      <c r="D5" s="14" t="n">
        <v>6</v>
      </c>
      <c r="E5" s="14" t="n">
        <v>0.4</v>
      </c>
      <c r="F5" s="14" t="n">
        <v>1</v>
      </c>
      <c r="G5" s="14" t="n">
        <v>0.2</v>
      </c>
      <c r="H5" s="14" t="n">
        <v>0</v>
      </c>
      <c r="I5" s="14" t="n">
        <v>0.1</v>
      </c>
      <c r="J5" s="14" t="n">
        <v>0.85</v>
      </c>
      <c r="K5" s="13" t="s">
        <v>88</v>
      </c>
    </row>
    <row r="6" customFormat="false" ht="15" hidden="false" customHeight="false" outlineLevel="0" collapsed="false">
      <c r="A6" s="13" t="s">
        <v>184</v>
      </c>
      <c r="B6" s="14" t="s">
        <v>185</v>
      </c>
      <c r="C6" s="13" t="s">
        <v>186</v>
      </c>
      <c r="D6" s="14" t="n">
        <v>1.5</v>
      </c>
      <c r="E6" s="14" t="n">
        <v>0.85</v>
      </c>
      <c r="F6" s="14" t="n">
        <v>1.4</v>
      </c>
      <c r="G6" s="14" t="n">
        <v>0.6</v>
      </c>
      <c r="H6" s="14" t="n">
        <v>0.3</v>
      </c>
      <c r="I6" s="14" t="n">
        <v>0.45</v>
      </c>
      <c r="J6" s="14" t="n">
        <v>0.15</v>
      </c>
      <c r="K6" s="13" t="s">
        <v>88</v>
      </c>
    </row>
    <row r="7" customFormat="false" ht="15" hidden="false" customHeight="false" outlineLevel="0" collapsed="false">
      <c r="A7" s="13" t="s">
        <v>187</v>
      </c>
      <c r="B7" s="14" t="s">
        <v>188</v>
      </c>
      <c r="C7" s="13" t="s">
        <v>189</v>
      </c>
      <c r="D7" s="14" t="n">
        <v>1</v>
      </c>
      <c r="E7" s="14" t="n">
        <v>0.7</v>
      </c>
      <c r="F7" s="14" t="n">
        <v>0.5</v>
      </c>
      <c r="G7" s="14" t="n">
        <v>1.3</v>
      </c>
      <c r="H7" s="14" t="n">
        <v>1.5</v>
      </c>
      <c r="I7" s="14" t="n">
        <v>0.3</v>
      </c>
      <c r="J7" s="14" t="n">
        <v>0.4</v>
      </c>
      <c r="K7" s="13" t="s">
        <v>88</v>
      </c>
    </row>
  </sheetData>
  <autoFilter ref="A4:K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9" t="s">
        <v>190</v>
      </c>
    </row>
    <row r="2" customFormat="false" ht="15" hidden="false" customHeight="false" outlineLevel="0" collapsed="false">
      <c r="A2" s="10" t="s">
        <v>191</v>
      </c>
    </row>
    <row r="4" customFormat="false" ht="30" hidden="false" customHeight="true" outlineLevel="0" collapsed="false">
      <c r="A4" s="11" t="s">
        <v>70</v>
      </c>
      <c r="B4" s="12" t="s">
        <v>13</v>
      </c>
      <c r="C4" s="12" t="s">
        <v>192</v>
      </c>
      <c r="D4" s="12" t="s">
        <v>193</v>
      </c>
      <c r="E4" s="12" t="s">
        <v>194</v>
      </c>
      <c r="F4" s="12" t="s">
        <v>195</v>
      </c>
      <c r="G4" s="12" t="s">
        <v>196</v>
      </c>
      <c r="H4" s="12" t="s">
        <v>197</v>
      </c>
      <c r="I4" s="12" t="s">
        <v>198</v>
      </c>
      <c r="J4" s="12" t="s">
        <v>83</v>
      </c>
    </row>
    <row r="5" customFormat="false" ht="72.35" hidden="false" customHeight="false" outlineLevel="0" collapsed="false">
      <c r="A5" s="13" t="s">
        <v>199</v>
      </c>
      <c r="B5" s="14" t="s">
        <v>200</v>
      </c>
      <c r="C5" s="13" t="s">
        <v>201</v>
      </c>
      <c r="D5" s="14" t="s">
        <v>202</v>
      </c>
      <c r="E5" s="14" t="n">
        <v>20</v>
      </c>
      <c r="F5" s="14" t="n">
        <v>15</v>
      </c>
      <c r="G5" s="16" t="s">
        <v>203</v>
      </c>
      <c r="H5" s="15" t="s">
        <v>204</v>
      </c>
      <c r="I5" s="13" t="s">
        <v>205</v>
      </c>
      <c r="J5" s="13" t="s">
        <v>88</v>
      </c>
    </row>
    <row r="6" customFormat="false" ht="58.2" hidden="false" customHeight="false" outlineLevel="0" collapsed="false">
      <c r="A6" s="13" t="s">
        <v>206</v>
      </c>
      <c r="B6" s="14" t="s">
        <v>207</v>
      </c>
      <c r="C6" s="13" t="s">
        <v>201</v>
      </c>
      <c r="D6" s="14" t="s">
        <v>208</v>
      </c>
      <c r="E6" s="14" t="n">
        <v>100</v>
      </c>
      <c r="F6" s="14" t="n">
        <v>15</v>
      </c>
      <c r="G6" s="16" t="s">
        <v>209</v>
      </c>
      <c r="H6" s="15" t="s">
        <v>210</v>
      </c>
      <c r="I6" s="13" t="s">
        <v>205</v>
      </c>
      <c r="J6" s="13" t="s">
        <v>88</v>
      </c>
    </row>
    <row r="7" customFormat="false" ht="58.2" hidden="false" customHeight="false" outlineLevel="0" collapsed="false">
      <c r="A7" s="13" t="s">
        <v>211</v>
      </c>
      <c r="B7" s="14" t="s">
        <v>212</v>
      </c>
      <c r="C7" s="13" t="s">
        <v>213</v>
      </c>
      <c r="D7" s="14" t="s">
        <v>214</v>
      </c>
      <c r="E7" s="14" t="n">
        <v>100</v>
      </c>
      <c r="F7" s="14" t="n">
        <v>15</v>
      </c>
      <c r="G7" s="16" t="s">
        <v>215</v>
      </c>
      <c r="H7" s="15" t="s">
        <v>216</v>
      </c>
      <c r="I7" s="13" t="s">
        <v>217</v>
      </c>
      <c r="J7" s="13" t="s">
        <v>88</v>
      </c>
    </row>
    <row r="8" customFormat="false" ht="58.2" hidden="false" customHeight="false" outlineLevel="0" collapsed="false">
      <c r="A8" s="13" t="s">
        <v>218</v>
      </c>
      <c r="B8" s="14" t="s">
        <v>219</v>
      </c>
      <c r="C8" s="13" t="s">
        <v>213</v>
      </c>
      <c r="D8" s="14" t="s">
        <v>220</v>
      </c>
      <c r="E8" s="14" t="n">
        <v>10</v>
      </c>
      <c r="F8" s="14" t="n">
        <v>15</v>
      </c>
      <c r="G8" s="16" t="s">
        <v>221</v>
      </c>
      <c r="H8" s="15" t="s">
        <v>222</v>
      </c>
      <c r="I8" s="13" t="s">
        <v>217</v>
      </c>
      <c r="J8" s="13" t="s">
        <v>88</v>
      </c>
    </row>
    <row r="9" customFormat="false" ht="58.2" hidden="false" customHeight="false" outlineLevel="0" collapsed="false">
      <c r="A9" s="13" t="s">
        <v>223</v>
      </c>
      <c r="B9" s="14" t="s">
        <v>224</v>
      </c>
      <c r="C9" s="13" t="s">
        <v>225</v>
      </c>
      <c r="D9" s="14" t="s">
        <v>226</v>
      </c>
      <c r="E9" s="14" t="n">
        <v>7</v>
      </c>
      <c r="F9" s="14" t="n">
        <v>15</v>
      </c>
      <c r="G9" s="16" t="s">
        <v>227</v>
      </c>
      <c r="H9" s="15" t="s">
        <v>228</v>
      </c>
      <c r="I9" s="13" t="s">
        <v>229</v>
      </c>
      <c r="J9" s="13" t="s">
        <v>88</v>
      </c>
    </row>
    <row r="10" customFormat="false" ht="72.35" hidden="false" customHeight="false" outlineLevel="0" collapsed="false">
      <c r="A10" s="13" t="s">
        <v>230</v>
      </c>
      <c r="B10" s="14" t="s">
        <v>231</v>
      </c>
      <c r="C10" s="13" t="s">
        <v>225</v>
      </c>
      <c r="D10" s="14" t="s">
        <v>232</v>
      </c>
      <c r="E10" s="14" t="n">
        <v>5</v>
      </c>
      <c r="F10" s="14" t="n">
        <v>15</v>
      </c>
      <c r="G10" s="16" t="s">
        <v>233</v>
      </c>
      <c r="H10" s="15" t="s">
        <v>234</v>
      </c>
      <c r="I10" s="13" t="s">
        <v>229</v>
      </c>
      <c r="J10" s="13" t="s">
        <v>88</v>
      </c>
    </row>
    <row r="11" customFormat="false" ht="72.35" hidden="false" customHeight="false" outlineLevel="0" collapsed="false">
      <c r="A11" s="13" t="s">
        <v>235</v>
      </c>
      <c r="B11" s="14" t="s">
        <v>236</v>
      </c>
      <c r="C11" s="13" t="s">
        <v>237</v>
      </c>
      <c r="D11" s="14" t="s">
        <v>238</v>
      </c>
      <c r="E11" s="14" t="n">
        <v>5</v>
      </c>
      <c r="F11" s="14" t="n">
        <v>15</v>
      </c>
      <c r="G11" s="16" t="s">
        <v>239</v>
      </c>
      <c r="H11" s="15" t="s">
        <v>240</v>
      </c>
      <c r="I11" s="13" t="s">
        <v>241</v>
      </c>
      <c r="J11" s="13" t="s">
        <v>88</v>
      </c>
    </row>
    <row r="12" customFormat="false" ht="72.35" hidden="false" customHeight="false" outlineLevel="0" collapsed="false">
      <c r="A12" s="13" t="s">
        <v>242</v>
      </c>
      <c r="B12" s="14" t="s">
        <v>243</v>
      </c>
      <c r="C12" s="13" t="s">
        <v>237</v>
      </c>
      <c r="D12" s="14" t="s">
        <v>244</v>
      </c>
      <c r="E12" s="14" t="n">
        <v>10</v>
      </c>
      <c r="F12" s="14" t="n">
        <v>15</v>
      </c>
      <c r="G12" s="16" t="s">
        <v>245</v>
      </c>
      <c r="H12" s="15" t="s">
        <v>246</v>
      </c>
      <c r="I12" s="13" t="s">
        <v>241</v>
      </c>
      <c r="J12" s="13" t="s">
        <v>88</v>
      </c>
    </row>
  </sheetData>
  <autoFilter ref="A4:J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60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9" t="s">
        <v>247</v>
      </c>
    </row>
    <row r="2" customFormat="false" ht="15" hidden="false" customHeight="false" outlineLevel="0" collapsed="false">
      <c r="A2" s="10" t="s">
        <v>248</v>
      </c>
    </row>
    <row r="4" customFormat="false" ht="30" hidden="false" customHeight="true" outlineLevel="0" collapsed="false">
      <c r="A4" s="12" t="s">
        <v>249</v>
      </c>
      <c r="B4" s="12" t="s">
        <v>172</v>
      </c>
      <c r="C4" s="12" t="s">
        <v>250</v>
      </c>
      <c r="D4" s="12" t="s">
        <v>251</v>
      </c>
      <c r="E4" s="12" t="s">
        <v>252</v>
      </c>
      <c r="F4" s="12" t="s">
        <v>253</v>
      </c>
      <c r="G4" s="12" t="s">
        <v>254</v>
      </c>
      <c r="H4" s="12" t="s">
        <v>255</v>
      </c>
      <c r="I4" s="12" t="s">
        <v>256</v>
      </c>
      <c r="J4" s="12" t="s">
        <v>257</v>
      </c>
      <c r="K4" s="12" t="s">
        <v>83</v>
      </c>
    </row>
    <row r="5" customFormat="false" ht="29.85" hidden="false" customHeight="false" outlineLevel="0" collapsed="false">
      <c r="A5" s="13" t="s">
        <v>258</v>
      </c>
      <c r="B5" s="14" t="s">
        <v>259</v>
      </c>
      <c r="C5" s="14" t="n">
        <v>45</v>
      </c>
      <c r="D5" s="14" t="n">
        <v>0</v>
      </c>
      <c r="E5" s="14" t="n">
        <v>0.075</v>
      </c>
      <c r="F5" s="14" t="n">
        <v>1.4</v>
      </c>
      <c r="G5" s="14" t="n">
        <v>0.25</v>
      </c>
      <c r="H5" s="14" t="n">
        <v>0.004</v>
      </c>
      <c r="I5" s="16" t="s">
        <v>260</v>
      </c>
      <c r="J5" s="16" t="s">
        <v>261</v>
      </c>
      <c r="K5" s="13" t="s">
        <v>88</v>
      </c>
    </row>
    <row r="6" customFormat="false" ht="29.85" hidden="false" customHeight="false" outlineLevel="0" collapsed="false">
      <c r="A6" s="13" t="s">
        <v>262</v>
      </c>
      <c r="B6" s="14" t="s">
        <v>263</v>
      </c>
      <c r="C6" s="14" t="n">
        <v>28</v>
      </c>
      <c r="D6" s="14" t="n">
        <v>0.004</v>
      </c>
      <c r="E6" s="14" t="n">
        <v>0.028</v>
      </c>
      <c r="F6" s="14" t="n">
        <v>0.5</v>
      </c>
      <c r="G6" s="14" t="n">
        <v>0.12</v>
      </c>
      <c r="H6" s="14" t="n">
        <v>-0.001</v>
      </c>
      <c r="I6" s="16" t="s">
        <v>264</v>
      </c>
      <c r="J6" s="16" t="s">
        <v>265</v>
      </c>
      <c r="K6" s="13" t="s">
        <v>88</v>
      </c>
    </row>
    <row r="7" customFormat="false" ht="29.85" hidden="false" customHeight="false" outlineLevel="0" collapsed="false">
      <c r="A7" s="13" t="s">
        <v>266</v>
      </c>
      <c r="B7" s="14" t="s">
        <v>267</v>
      </c>
      <c r="C7" s="14" t="n">
        <v>60</v>
      </c>
      <c r="D7" s="14" t="n">
        <v>0.0022</v>
      </c>
      <c r="E7" s="14" t="n">
        <v>0.045</v>
      </c>
      <c r="F7" s="14" t="n">
        <v>1</v>
      </c>
      <c r="G7" s="14" t="n">
        <v>0.18</v>
      </c>
      <c r="H7" s="14" t="n">
        <v>0</v>
      </c>
      <c r="I7" s="16" t="s">
        <v>268</v>
      </c>
      <c r="J7" s="16" t="s">
        <v>269</v>
      </c>
      <c r="K7" s="13" t="s">
        <v>88</v>
      </c>
    </row>
    <row r="8" customFormat="false" ht="29.85" hidden="false" customHeight="false" outlineLevel="0" collapsed="false">
      <c r="A8" s="13" t="s">
        <v>270</v>
      </c>
      <c r="B8" s="14" t="s">
        <v>271</v>
      </c>
      <c r="C8" s="14" t="n">
        <v>12</v>
      </c>
      <c r="D8" s="14" t="n">
        <v>0</v>
      </c>
      <c r="E8" s="14" t="n">
        <v>0.105</v>
      </c>
      <c r="F8" s="14" t="n">
        <v>1.8</v>
      </c>
      <c r="G8" s="14" t="n">
        <v>0.3</v>
      </c>
      <c r="H8" s="14" t="n">
        <v>0.006</v>
      </c>
      <c r="I8" s="16" t="s">
        <v>272</v>
      </c>
      <c r="J8" s="16" t="s">
        <v>273</v>
      </c>
      <c r="K8" s="13" t="s">
        <v>88</v>
      </c>
    </row>
  </sheetData>
  <autoFilter ref="A4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6" min="4" style="0" width="8"/>
    <col collapsed="false" customWidth="true" hidden="false" outlineLevel="0" max="7" min="7" style="0" width="36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9" t="s">
        <v>274</v>
      </c>
    </row>
    <row r="2" customFormat="false" ht="15" hidden="false" customHeight="false" outlineLevel="0" collapsed="false">
      <c r="A2" s="10" t="s">
        <v>275</v>
      </c>
    </row>
    <row r="4" customFormat="false" ht="30" hidden="false" customHeight="true" outlineLevel="0" collapsed="false">
      <c r="A4" s="11" t="s">
        <v>70</v>
      </c>
      <c r="B4" s="12" t="s">
        <v>276</v>
      </c>
      <c r="C4" s="12" t="s">
        <v>249</v>
      </c>
      <c r="D4" s="12" t="s">
        <v>277</v>
      </c>
      <c r="E4" s="12" t="s">
        <v>278</v>
      </c>
      <c r="F4" s="12" t="s">
        <v>279</v>
      </c>
      <c r="G4" s="12" t="s">
        <v>196</v>
      </c>
      <c r="H4" s="12" t="s">
        <v>280</v>
      </c>
      <c r="I4" s="12" t="s">
        <v>198</v>
      </c>
      <c r="J4" s="12" t="s">
        <v>281</v>
      </c>
      <c r="K4" s="12" t="s">
        <v>83</v>
      </c>
    </row>
    <row r="5" customFormat="false" ht="29.85" hidden="false" customHeight="false" outlineLevel="0" collapsed="false">
      <c r="A5" s="13" t="s">
        <v>282</v>
      </c>
      <c r="B5" s="14" t="s">
        <v>283</v>
      </c>
      <c r="C5" s="13" t="s">
        <v>258</v>
      </c>
      <c r="D5" s="14" t="n">
        <v>43</v>
      </c>
      <c r="E5" s="14" t="n">
        <v>1</v>
      </c>
      <c r="F5" s="14" t="n">
        <v>9999</v>
      </c>
      <c r="G5" s="16" t="s">
        <v>284</v>
      </c>
      <c r="H5" s="16" t="s">
        <v>285</v>
      </c>
      <c r="I5" s="13" t="s">
        <v>286</v>
      </c>
      <c r="J5" s="14"/>
      <c r="K5" s="13" t="s">
        <v>88</v>
      </c>
    </row>
    <row r="6" customFormat="false" ht="15" hidden="false" customHeight="false" outlineLevel="0" collapsed="false">
      <c r="A6" s="13" t="s">
        <v>287</v>
      </c>
      <c r="B6" s="14" t="s">
        <v>288</v>
      </c>
      <c r="C6" s="13" t="s">
        <v>262</v>
      </c>
      <c r="D6" s="14" t="n">
        <v>27</v>
      </c>
      <c r="E6" s="14" t="n">
        <v>1</v>
      </c>
      <c r="F6" s="14" t="n">
        <v>9999</v>
      </c>
      <c r="G6" s="16" t="s">
        <v>289</v>
      </c>
      <c r="H6" s="16" t="s">
        <v>290</v>
      </c>
      <c r="I6" s="13" t="s">
        <v>291</v>
      </c>
      <c r="J6" s="14"/>
      <c r="K6" s="13" t="s">
        <v>88</v>
      </c>
    </row>
    <row r="7" customFormat="false" ht="15" hidden="false" customHeight="false" outlineLevel="0" collapsed="false">
      <c r="A7" s="13" t="s">
        <v>292</v>
      </c>
      <c r="B7" s="14" t="s">
        <v>293</v>
      </c>
      <c r="C7" s="13" t="s">
        <v>266</v>
      </c>
      <c r="D7" s="14" t="n">
        <v>58</v>
      </c>
      <c r="E7" s="14" t="n">
        <v>1</v>
      </c>
      <c r="F7" s="14" t="n">
        <v>9999</v>
      </c>
      <c r="G7" s="16" t="s">
        <v>294</v>
      </c>
      <c r="H7" s="15" t="s">
        <v>295</v>
      </c>
      <c r="I7" s="13" t="s">
        <v>286</v>
      </c>
      <c r="J7" s="14"/>
      <c r="K7" s="13" t="s">
        <v>88</v>
      </c>
    </row>
    <row r="8" customFormat="false" ht="29.85" hidden="false" customHeight="false" outlineLevel="0" collapsed="false">
      <c r="A8" s="13" t="s">
        <v>296</v>
      </c>
      <c r="B8" s="14" t="s">
        <v>297</v>
      </c>
      <c r="C8" s="13" t="s">
        <v>270</v>
      </c>
      <c r="D8" s="14" t="n">
        <v>9</v>
      </c>
      <c r="E8" s="14" t="n">
        <v>1</v>
      </c>
      <c r="F8" s="14" t="n">
        <v>9999</v>
      </c>
      <c r="G8" s="16" t="s">
        <v>298</v>
      </c>
      <c r="H8" s="16" t="s">
        <v>299</v>
      </c>
      <c r="I8" s="13" t="s">
        <v>300</v>
      </c>
      <c r="J8" s="14"/>
      <c r="K8" s="13" t="s">
        <v>88</v>
      </c>
    </row>
    <row r="9" customFormat="false" ht="15" hidden="false" customHeight="false" outlineLevel="0" collapsed="false">
      <c r="A9" s="13" t="s">
        <v>301</v>
      </c>
      <c r="B9" s="14" t="s">
        <v>302</v>
      </c>
      <c r="C9" s="13" t="s">
        <v>262</v>
      </c>
      <c r="D9" s="14" t="n">
        <v>24</v>
      </c>
      <c r="E9" s="14" t="n">
        <v>1</v>
      </c>
      <c r="F9" s="14" t="n">
        <v>9999</v>
      </c>
      <c r="G9" s="16" t="s">
        <v>303</v>
      </c>
      <c r="H9" s="16" t="s">
        <v>304</v>
      </c>
      <c r="I9" s="13" t="s">
        <v>291</v>
      </c>
      <c r="J9" s="14"/>
      <c r="K9" s="13" t="s">
        <v>88</v>
      </c>
    </row>
    <row r="10" customFormat="false" ht="29.85" hidden="false" customHeight="false" outlineLevel="0" collapsed="false">
      <c r="A10" s="13" t="s">
        <v>305</v>
      </c>
      <c r="B10" s="14" t="s">
        <v>306</v>
      </c>
      <c r="C10" s="13" t="s">
        <v>258</v>
      </c>
      <c r="D10" s="14" t="n">
        <v>52</v>
      </c>
      <c r="E10" s="14" t="n">
        <v>1</v>
      </c>
      <c r="F10" s="14" t="n">
        <v>9999</v>
      </c>
      <c r="G10" s="16" t="s">
        <v>307</v>
      </c>
      <c r="H10" s="16" t="s">
        <v>308</v>
      </c>
      <c r="I10" s="13" t="s">
        <v>286</v>
      </c>
      <c r="J10" s="14"/>
      <c r="K10" s="13" t="s">
        <v>88</v>
      </c>
    </row>
    <row r="11" customFormat="false" ht="29.85" hidden="false" customHeight="false" outlineLevel="0" collapsed="false">
      <c r="A11" s="13" t="s">
        <v>309</v>
      </c>
      <c r="B11" s="14" t="s">
        <v>310</v>
      </c>
      <c r="C11" s="13" t="s">
        <v>258</v>
      </c>
      <c r="D11" s="14" t="n">
        <v>43</v>
      </c>
      <c r="E11" s="14" t="n">
        <v>1</v>
      </c>
      <c r="F11" s="14" t="n">
        <v>9999</v>
      </c>
      <c r="G11" s="16" t="s">
        <v>311</v>
      </c>
      <c r="H11" s="16" t="s">
        <v>312</v>
      </c>
      <c r="I11" s="13" t="s">
        <v>286</v>
      </c>
      <c r="J11" s="14"/>
      <c r="K11" s="13" t="s">
        <v>313</v>
      </c>
    </row>
    <row r="12" customFormat="false" ht="29.85" hidden="false" customHeight="false" outlineLevel="0" collapsed="false">
      <c r="A12" s="13" t="s">
        <v>314</v>
      </c>
      <c r="B12" s="14" t="s">
        <v>315</v>
      </c>
      <c r="C12" s="13" t="s">
        <v>262</v>
      </c>
      <c r="D12" s="14" t="n">
        <v>27</v>
      </c>
      <c r="E12" s="14" t="n">
        <v>1</v>
      </c>
      <c r="F12" s="14" t="n">
        <v>9999</v>
      </c>
      <c r="G12" s="16" t="s">
        <v>316</v>
      </c>
      <c r="H12" s="16" t="s">
        <v>317</v>
      </c>
      <c r="I12" s="13" t="s">
        <v>291</v>
      </c>
      <c r="J12" s="14"/>
      <c r="K12" s="13" t="s">
        <v>313</v>
      </c>
    </row>
    <row r="13" customFormat="false" ht="29.85" hidden="false" customHeight="false" outlineLevel="0" collapsed="false">
      <c r="A13" s="13" t="s">
        <v>318</v>
      </c>
      <c r="B13" s="14" t="s">
        <v>319</v>
      </c>
      <c r="C13" s="13" t="s">
        <v>266</v>
      </c>
      <c r="D13" s="14" t="n">
        <v>58</v>
      </c>
      <c r="E13" s="14" t="n">
        <v>1</v>
      </c>
      <c r="F13" s="14" t="n">
        <v>9999</v>
      </c>
      <c r="G13" s="16" t="s">
        <v>320</v>
      </c>
      <c r="H13" s="16" t="s">
        <v>321</v>
      </c>
      <c r="I13" s="13" t="s">
        <v>286</v>
      </c>
      <c r="J13" s="14"/>
      <c r="K13" s="13" t="s">
        <v>313</v>
      </c>
    </row>
    <row r="14" customFormat="false" ht="29.85" hidden="false" customHeight="false" outlineLevel="0" collapsed="false">
      <c r="A14" s="13" t="s">
        <v>322</v>
      </c>
      <c r="B14" s="14" t="s">
        <v>323</v>
      </c>
      <c r="C14" s="13" t="s">
        <v>270</v>
      </c>
      <c r="D14" s="14" t="n">
        <v>11</v>
      </c>
      <c r="E14" s="14" t="n">
        <v>1</v>
      </c>
      <c r="F14" s="14" t="n">
        <v>9999</v>
      </c>
      <c r="G14" s="16" t="s">
        <v>324</v>
      </c>
      <c r="H14" s="16" t="s">
        <v>325</v>
      </c>
      <c r="I14" s="13" t="s">
        <v>300</v>
      </c>
      <c r="J14" s="14"/>
      <c r="K14" s="13" t="s">
        <v>313</v>
      </c>
    </row>
  </sheetData>
  <autoFilter ref="A4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9" min="5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20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20" min="19" style="0" width="8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40"/>
    <col collapsed="false" customWidth="true" hidden="false" outlineLevel="0" max="24" min="24" style="0" width="44"/>
    <col collapsed="false" customWidth="true" hidden="false" outlineLevel="0" max="25" min="25" style="0" width="14"/>
    <col collapsed="false" customWidth="true" hidden="false" outlineLevel="0" max="26" min="26" style="0" width="8"/>
    <col collapsed="false" customWidth="true" hidden="false" outlineLevel="0" max="27" min="27" style="0" width="10"/>
  </cols>
  <sheetData>
    <row r="1" customFormat="false" ht="19.4" hidden="false" customHeight="false" outlineLevel="0" collapsed="false">
      <c r="A1" s="9" t="s">
        <v>326</v>
      </c>
    </row>
    <row r="2" customFormat="false" ht="15" hidden="false" customHeight="false" outlineLevel="0" collapsed="false">
      <c r="A2" s="2" t="s">
        <v>327</v>
      </c>
    </row>
    <row r="4" customFormat="false" ht="30" hidden="false" customHeight="true" outlineLevel="0" collapsed="false">
      <c r="A4" s="12" t="s">
        <v>328</v>
      </c>
      <c r="B4" s="11" t="s">
        <v>70</v>
      </c>
      <c r="C4" s="12" t="s">
        <v>329</v>
      </c>
      <c r="D4" s="12" t="s">
        <v>276</v>
      </c>
      <c r="E4" s="12" t="s">
        <v>330</v>
      </c>
      <c r="F4" s="12" t="s">
        <v>331</v>
      </c>
      <c r="G4" s="12" t="s">
        <v>332</v>
      </c>
      <c r="H4" s="12" t="s">
        <v>333</v>
      </c>
      <c r="I4" s="12" t="s">
        <v>334</v>
      </c>
      <c r="J4" s="12" t="s">
        <v>335</v>
      </c>
      <c r="K4" s="12" t="s">
        <v>336</v>
      </c>
      <c r="L4" s="12" t="s">
        <v>337</v>
      </c>
      <c r="M4" s="12" t="s">
        <v>338</v>
      </c>
      <c r="N4" s="12" t="s">
        <v>339</v>
      </c>
      <c r="O4" s="12" t="s">
        <v>340</v>
      </c>
      <c r="P4" s="12" t="s">
        <v>341</v>
      </c>
      <c r="Q4" s="12" t="s">
        <v>342</v>
      </c>
      <c r="R4" s="12" t="s">
        <v>343</v>
      </c>
      <c r="S4" s="12" t="s">
        <v>344</v>
      </c>
      <c r="T4" s="12" t="s">
        <v>345</v>
      </c>
      <c r="U4" s="12" t="s">
        <v>346</v>
      </c>
      <c r="V4" s="12" t="s">
        <v>347</v>
      </c>
      <c r="W4" s="12" t="s">
        <v>196</v>
      </c>
      <c r="X4" s="12" t="s">
        <v>280</v>
      </c>
      <c r="Y4" s="12" t="s">
        <v>198</v>
      </c>
      <c r="Z4" s="12" t="s">
        <v>281</v>
      </c>
      <c r="AA4" s="12" t="s">
        <v>83</v>
      </c>
    </row>
    <row r="5" customFormat="false" ht="29.85" hidden="false" customHeight="false" outlineLevel="0" collapsed="false">
      <c r="A5" s="13" t="s">
        <v>348</v>
      </c>
      <c r="B5" s="13" t="s">
        <v>349</v>
      </c>
      <c r="C5" s="13" t="s">
        <v>350</v>
      </c>
      <c r="D5" s="14" t="s">
        <v>351</v>
      </c>
      <c r="E5" s="14" t="n">
        <v>420</v>
      </c>
      <c r="F5" s="14" t="n">
        <v>84</v>
      </c>
      <c r="G5" s="14" t="n">
        <v>3.5</v>
      </c>
      <c r="H5" s="14" t="n">
        <v>0.3</v>
      </c>
      <c r="I5" s="14"/>
      <c r="J5" s="18" t="n">
        <f aca="false">IF(AND(ISNUMBER(E5),E5&gt;0),(N(G5)-N(H5))*12/E5,"")</f>
        <v>0.0914285714285714</v>
      </c>
      <c r="K5" s="14"/>
      <c r="L5" s="18"/>
      <c r="M5" s="14"/>
      <c r="N5" s="14" t="n">
        <v>0.026</v>
      </c>
      <c r="O5" s="14" t="s">
        <v>352</v>
      </c>
      <c r="P5" s="13" t="s">
        <v>353</v>
      </c>
      <c r="Q5" s="14"/>
      <c r="R5" s="14"/>
      <c r="S5" s="14"/>
      <c r="T5" s="14"/>
      <c r="U5" s="14"/>
      <c r="V5" s="14"/>
      <c r="W5" s="16" t="s">
        <v>354</v>
      </c>
      <c r="X5" s="16" t="s">
        <v>355</v>
      </c>
      <c r="Y5" s="13" t="s">
        <v>356</v>
      </c>
      <c r="Z5" s="14"/>
      <c r="AA5" s="13" t="s">
        <v>88</v>
      </c>
    </row>
    <row r="6" customFormat="false" ht="15" hidden="false" customHeight="false" outlineLevel="0" collapsed="false">
      <c r="A6" s="13" t="s">
        <v>348</v>
      </c>
      <c r="B6" s="13" t="s">
        <v>357</v>
      </c>
      <c r="C6" s="13" t="s">
        <v>350</v>
      </c>
      <c r="D6" s="14" t="s">
        <v>358</v>
      </c>
      <c r="E6" s="14" t="n">
        <v>850</v>
      </c>
      <c r="F6" s="14" t="n">
        <v>170</v>
      </c>
      <c r="G6" s="14" t="n">
        <v>8</v>
      </c>
      <c r="H6" s="14" t="n">
        <v>1</v>
      </c>
      <c r="I6" s="14"/>
      <c r="J6" s="18" t="n">
        <f aca="false">IF(AND(ISNUMBER(E6),E6&gt;0),(N(G6)-N(H6))*12/E6,"")</f>
        <v>0.0988235294117647</v>
      </c>
      <c r="K6" s="14"/>
      <c r="L6" s="18"/>
      <c r="M6" s="14"/>
      <c r="N6" s="14" t="n">
        <v>0.024</v>
      </c>
      <c r="O6" s="14" t="s">
        <v>352</v>
      </c>
      <c r="P6" s="13" t="s">
        <v>359</v>
      </c>
      <c r="Q6" s="14"/>
      <c r="R6" s="14"/>
      <c r="S6" s="14"/>
      <c r="T6" s="14"/>
      <c r="U6" s="14"/>
      <c r="V6" s="14"/>
      <c r="W6" s="16" t="s">
        <v>360</v>
      </c>
      <c r="X6" s="16" t="s">
        <v>361</v>
      </c>
      <c r="Y6" s="13" t="s">
        <v>356</v>
      </c>
      <c r="Z6" s="14"/>
      <c r="AA6" s="13" t="s">
        <v>88</v>
      </c>
    </row>
    <row r="7" customFormat="false" ht="15" hidden="false" customHeight="false" outlineLevel="0" collapsed="false">
      <c r="A7" s="13" t="s">
        <v>348</v>
      </c>
      <c r="B7" s="13" t="s">
        <v>362</v>
      </c>
      <c r="C7" s="13" t="s">
        <v>363</v>
      </c>
      <c r="D7" s="14" t="s">
        <v>364</v>
      </c>
      <c r="E7" s="14" t="n">
        <v>90</v>
      </c>
      <c r="F7" s="14"/>
      <c r="G7" s="14"/>
      <c r="H7" s="14"/>
      <c r="I7" s="14" t="n">
        <v>3.5</v>
      </c>
      <c r="J7" s="18" t="n">
        <f aca="false">IF(AND(ISNUMBER(E7),E7&gt;0,ISNUMBER(I7)),I7*12/E7,"")</f>
        <v>0.466666666666667</v>
      </c>
      <c r="K7" s="14"/>
      <c r="L7" s="18"/>
      <c r="M7" s="14"/>
      <c r="N7" s="14"/>
      <c r="O7" s="14"/>
      <c r="P7" s="14"/>
      <c r="Q7" s="14" t="s">
        <v>352</v>
      </c>
      <c r="R7" s="14"/>
      <c r="S7" s="14"/>
      <c r="T7" s="14"/>
      <c r="U7" s="14"/>
      <c r="V7" s="14"/>
      <c r="W7" s="16" t="s">
        <v>365</v>
      </c>
      <c r="X7" s="16" t="s">
        <v>366</v>
      </c>
      <c r="Y7" s="13" t="s">
        <v>367</v>
      </c>
      <c r="Z7" s="14"/>
      <c r="AA7" s="13" t="s">
        <v>88</v>
      </c>
    </row>
    <row r="8" customFormat="false" ht="15" hidden="false" customHeight="false" outlineLevel="0" collapsed="false">
      <c r="A8" s="13" t="s">
        <v>348</v>
      </c>
      <c r="B8" s="13" t="s">
        <v>368</v>
      </c>
      <c r="C8" s="13" t="s">
        <v>363</v>
      </c>
      <c r="D8" s="14" t="s">
        <v>369</v>
      </c>
      <c r="E8" s="14" t="n">
        <v>60</v>
      </c>
      <c r="F8" s="14"/>
      <c r="G8" s="14"/>
      <c r="H8" s="14"/>
      <c r="I8" s="14" t="n">
        <v>2.6</v>
      </c>
      <c r="J8" s="18" t="n">
        <f aca="false">IF(AND(ISNUMBER(E8),E8&gt;0,ISNUMBER(I8)),I8*12/E8,"")</f>
        <v>0.52</v>
      </c>
      <c r="K8" s="14"/>
      <c r="L8" s="18"/>
      <c r="M8" s="14"/>
      <c r="N8" s="14"/>
      <c r="O8" s="14"/>
      <c r="P8" s="14"/>
      <c r="Q8" s="14" t="s">
        <v>352</v>
      </c>
      <c r="R8" s="14"/>
      <c r="S8" s="14"/>
      <c r="T8" s="14"/>
      <c r="U8" s="14"/>
      <c r="V8" s="14"/>
      <c r="W8" s="16" t="s">
        <v>370</v>
      </c>
      <c r="X8" s="16" t="s">
        <v>371</v>
      </c>
      <c r="Y8" s="13" t="s">
        <v>367</v>
      </c>
      <c r="Z8" s="14"/>
      <c r="AA8" s="13" t="s">
        <v>88</v>
      </c>
    </row>
    <row r="9" customFormat="false" ht="29.85" hidden="false" customHeight="false" outlineLevel="0" collapsed="false">
      <c r="A9" s="13" t="s">
        <v>348</v>
      </c>
      <c r="B9" s="13" t="s">
        <v>372</v>
      </c>
      <c r="C9" s="13" t="s">
        <v>350</v>
      </c>
      <c r="D9" s="14" t="s">
        <v>373</v>
      </c>
      <c r="E9" s="14" t="n">
        <v>2200</v>
      </c>
      <c r="F9" s="14" t="n">
        <v>440</v>
      </c>
      <c r="G9" s="14" t="n">
        <v>16</v>
      </c>
      <c r="H9" s="14" t="n">
        <v>3</v>
      </c>
      <c r="I9" s="14"/>
      <c r="J9" s="18" t="n">
        <f aca="false">IF(AND(ISNUMBER(E9),E9&gt;0),(N(G9)-N(H9))*12/E9,"")</f>
        <v>0.0709090909090909</v>
      </c>
      <c r="K9" s="14"/>
      <c r="L9" s="18"/>
      <c r="M9" s="14"/>
      <c r="N9" s="14" t="n">
        <v>0.0235</v>
      </c>
      <c r="O9" s="14" t="s">
        <v>352</v>
      </c>
      <c r="P9" s="13" t="s">
        <v>374</v>
      </c>
      <c r="Q9" s="14"/>
      <c r="R9" s="14"/>
      <c r="S9" s="14"/>
      <c r="T9" s="14"/>
      <c r="U9" s="14"/>
      <c r="V9" s="14"/>
      <c r="W9" s="16" t="s">
        <v>375</v>
      </c>
      <c r="X9" s="16" t="s">
        <v>376</v>
      </c>
      <c r="Y9" s="13" t="s">
        <v>377</v>
      </c>
      <c r="Z9" s="14"/>
      <c r="AA9" s="13" t="s">
        <v>88</v>
      </c>
    </row>
    <row r="10" customFormat="false" ht="15" hidden="false" customHeight="false" outlineLevel="0" collapsed="false">
      <c r="A10" s="13" t="s">
        <v>348</v>
      </c>
      <c r="B10" s="13" t="s">
        <v>378</v>
      </c>
      <c r="C10" s="13" t="s">
        <v>350</v>
      </c>
      <c r="D10" s="14" t="s">
        <v>379</v>
      </c>
      <c r="E10" s="14" t="n">
        <v>1600</v>
      </c>
      <c r="F10" s="14" t="n">
        <v>320</v>
      </c>
      <c r="G10" s="14" t="n">
        <v>13</v>
      </c>
      <c r="H10" s="14" t="n">
        <v>2</v>
      </c>
      <c r="I10" s="14"/>
      <c r="J10" s="18" t="n">
        <f aca="false">IF(AND(ISNUMBER(E10),E10&gt;0),(N(G10)-N(H10))*12/E10,"")</f>
        <v>0.0825</v>
      </c>
      <c r="K10" s="14"/>
      <c r="L10" s="18"/>
      <c r="M10" s="14"/>
      <c r="N10" s="14" t="n">
        <v>0.022</v>
      </c>
      <c r="O10" s="14" t="s">
        <v>352</v>
      </c>
      <c r="P10" s="13" t="s">
        <v>380</v>
      </c>
      <c r="Q10" s="14"/>
      <c r="R10" s="14"/>
      <c r="S10" s="14"/>
      <c r="T10" s="14"/>
      <c r="U10" s="14"/>
      <c r="V10" s="14"/>
      <c r="W10" s="16" t="s">
        <v>381</v>
      </c>
      <c r="X10" s="16" t="s">
        <v>382</v>
      </c>
      <c r="Y10" s="13" t="s">
        <v>356</v>
      </c>
      <c r="Z10" s="14"/>
      <c r="AA10" s="13" t="s">
        <v>88</v>
      </c>
    </row>
    <row r="11" customFormat="false" ht="15" hidden="false" customHeight="false" outlineLevel="0" collapsed="false">
      <c r="A11" s="13" t="s">
        <v>348</v>
      </c>
      <c r="B11" s="13" t="s">
        <v>383</v>
      </c>
      <c r="C11" s="13" t="s">
        <v>350</v>
      </c>
      <c r="D11" s="14" t="s">
        <v>384</v>
      </c>
      <c r="E11" s="14" t="n">
        <v>1200</v>
      </c>
      <c r="F11" s="14" t="n">
        <v>240</v>
      </c>
      <c r="G11" s="14" t="n">
        <v>11</v>
      </c>
      <c r="H11" s="14" t="n">
        <v>2</v>
      </c>
      <c r="I11" s="14"/>
      <c r="J11" s="18" t="n">
        <f aca="false">IF(AND(ISNUMBER(E11),E11&gt;0),(N(G11)-N(H11))*12/E11,"")</f>
        <v>0.09</v>
      </c>
      <c r="K11" s="14"/>
      <c r="L11" s="18"/>
      <c r="M11" s="14"/>
      <c r="N11" s="14" t="n">
        <v>0.024</v>
      </c>
      <c r="O11" s="14" t="s">
        <v>352</v>
      </c>
      <c r="P11" s="13" t="s">
        <v>385</v>
      </c>
      <c r="Q11" s="14"/>
      <c r="R11" s="14"/>
      <c r="S11" s="14"/>
      <c r="T11" s="14"/>
      <c r="U11" s="14"/>
      <c r="V11" s="14"/>
      <c r="W11" s="16" t="s">
        <v>386</v>
      </c>
      <c r="X11" s="16" t="s">
        <v>387</v>
      </c>
      <c r="Y11" s="13" t="s">
        <v>356</v>
      </c>
      <c r="Z11" s="14"/>
      <c r="AA11" s="13" t="s">
        <v>88</v>
      </c>
    </row>
    <row r="12" customFormat="false" ht="15" hidden="false" customHeight="false" outlineLevel="0" collapsed="false">
      <c r="A12" s="13" t="s">
        <v>348</v>
      </c>
      <c r="B12" s="13" t="s">
        <v>388</v>
      </c>
      <c r="C12" s="13" t="s">
        <v>350</v>
      </c>
      <c r="D12" s="14" t="s">
        <v>389</v>
      </c>
      <c r="E12" s="14" t="n">
        <v>2400</v>
      </c>
      <c r="F12" s="14" t="n">
        <v>480</v>
      </c>
      <c r="G12" s="14" t="n">
        <v>19</v>
      </c>
      <c r="H12" s="14" t="n">
        <v>4</v>
      </c>
      <c r="I12" s="14"/>
      <c r="J12" s="18" t="n">
        <f aca="false">IF(AND(ISNUMBER(E12),E12&gt;0),(N(G12)-N(H12))*12/E12,"")</f>
        <v>0.075</v>
      </c>
      <c r="K12" s="14"/>
      <c r="L12" s="18"/>
      <c r="M12" s="14"/>
      <c r="N12" s="14" t="n">
        <v>0.026</v>
      </c>
      <c r="O12" s="14" t="s">
        <v>352</v>
      </c>
      <c r="P12" s="13" t="s">
        <v>390</v>
      </c>
      <c r="Q12" s="14"/>
      <c r="R12" s="14"/>
      <c r="S12" s="14"/>
      <c r="T12" s="14"/>
      <c r="U12" s="14"/>
      <c r="V12" s="14"/>
      <c r="W12" s="16" t="s">
        <v>391</v>
      </c>
      <c r="X12" s="16" t="s">
        <v>392</v>
      </c>
      <c r="Y12" s="13" t="s">
        <v>393</v>
      </c>
      <c r="Z12" s="14"/>
      <c r="AA12" s="13" t="s">
        <v>88</v>
      </c>
    </row>
    <row r="13" customFormat="false" ht="29.85" hidden="false" customHeight="false" outlineLevel="0" collapsed="false">
      <c r="A13" s="13" t="s">
        <v>348</v>
      </c>
      <c r="B13" s="13" t="s">
        <v>394</v>
      </c>
      <c r="C13" s="13" t="s">
        <v>363</v>
      </c>
      <c r="D13" s="14" t="s">
        <v>395</v>
      </c>
      <c r="E13" s="14" t="n">
        <v>380</v>
      </c>
      <c r="F13" s="14"/>
      <c r="G13" s="14"/>
      <c r="H13" s="14"/>
      <c r="I13" s="14" t="n">
        <v>13</v>
      </c>
      <c r="J13" s="18" t="n">
        <f aca="false">IF(AND(ISNUMBER(E13),E13&gt;0,ISNUMBER(I13)),I13*12/E13,"")</f>
        <v>0.410526315789474</v>
      </c>
      <c r="K13" s="14"/>
      <c r="L13" s="18"/>
      <c r="M13" s="14"/>
      <c r="N13" s="14"/>
      <c r="O13" s="14"/>
      <c r="P13" s="14"/>
      <c r="Q13" s="14" t="s">
        <v>396</v>
      </c>
      <c r="R13" s="14"/>
      <c r="S13" s="14"/>
      <c r="T13" s="14"/>
      <c r="U13" s="14"/>
      <c r="V13" s="14"/>
      <c r="W13" s="16" t="s">
        <v>397</v>
      </c>
      <c r="X13" s="16" t="s">
        <v>398</v>
      </c>
      <c r="Y13" s="13" t="s">
        <v>367</v>
      </c>
      <c r="Z13" s="14"/>
      <c r="AA13" s="13" t="s">
        <v>88</v>
      </c>
    </row>
    <row r="14" customFormat="false" ht="15" hidden="false" customHeight="false" outlineLevel="0" collapsed="false">
      <c r="A14" s="13" t="s">
        <v>348</v>
      </c>
      <c r="B14" s="13" t="s">
        <v>399</v>
      </c>
      <c r="C14" s="13" t="s">
        <v>363</v>
      </c>
      <c r="D14" s="14" t="s">
        <v>400</v>
      </c>
      <c r="E14" s="14" t="n">
        <v>400</v>
      </c>
      <c r="F14" s="14"/>
      <c r="G14" s="14"/>
      <c r="H14" s="14"/>
      <c r="I14" s="14" t="n">
        <v>15</v>
      </c>
      <c r="J14" s="18" t="n">
        <f aca="false">IF(AND(ISNUMBER(E14),E14&gt;0,ISNUMBER(I14)),I14*12/E14,"")</f>
        <v>0.45</v>
      </c>
      <c r="K14" s="14"/>
      <c r="L14" s="18"/>
      <c r="M14" s="14"/>
      <c r="N14" s="14"/>
      <c r="O14" s="14"/>
      <c r="P14" s="14"/>
      <c r="Q14" s="14" t="s">
        <v>352</v>
      </c>
      <c r="R14" s="14"/>
      <c r="S14" s="14"/>
      <c r="T14" s="14"/>
      <c r="U14" s="14"/>
      <c r="V14" s="14"/>
      <c r="W14" s="16" t="s">
        <v>401</v>
      </c>
      <c r="X14" s="16" t="s">
        <v>402</v>
      </c>
      <c r="Y14" s="13" t="s">
        <v>367</v>
      </c>
      <c r="Z14" s="14"/>
      <c r="AA14" s="13" t="s">
        <v>88</v>
      </c>
    </row>
    <row r="15" customFormat="false" ht="15" hidden="false" customHeight="false" outlineLevel="0" collapsed="false">
      <c r="A15" s="13" t="s">
        <v>348</v>
      </c>
      <c r="B15" s="13" t="s">
        <v>403</v>
      </c>
      <c r="C15" s="13" t="s">
        <v>363</v>
      </c>
      <c r="D15" s="14" t="s">
        <v>404</v>
      </c>
      <c r="E15" s="14" t="n">
        <v>120</v>
      </c>
      <c r="F15" s="14"/>
      <c r="G15" s="14"/>
      <c r="H15" s="14"/>
      <c r="I15" s="14" t="n">
        <v>4.5</v>
      </c>
      <c r="J15" s="18" t="n">
        <f aca="false">IF(AND(ISNUMBER(E15),E15&gt;0,ISNUMBER(I15)),I15*12/E15,"")</f>
        <v>0.45</v>
      </c>
      <c r="K15" s="14"/>
      <c r="L15" s="18"/>
      <c r="M15" s="14"/>
      <c r="N15" s="14"/>
      <c r="O15" s="14"/>
      <c r="P15" s="14"/>
      <c r="Q15" s="14" t="s">
        <v>352</v>
      </c>
      <c r="R15" s="14"/>
      <c r="S15" s="14"/>
      <c r="T15" s="14"/>
      <c r="U15" s="14"/>
      <c r="V15" s="14"/>
      <c r="W15" s="16" t="s">
        <v>405</v>
      </c>
      <c r="X15" s="16" t="s">
        <v>406</v>
      </c>
      <c r="Y15" s="13" t="s">
        <v>367</v>
      </c>
      <c r="Z15" s="14"/>
      <c r="AA15" s="13" t="s">
        <v>88</v>
      </c>
    </row>
    <row r="16" customFormat="false" ht="15" hidden="false" customHeight="false" outlineLevel="0" collapsed="false">
      <c r="A16" s="13" t="s">
        <v>348</v>
      </c>
      <c r="B16" s="13" t="s">
        <v>407</v>
      </c>
      <c r="C16" s="13" t="s">
        <v>363</v>
      </c>
      <c r="D16" s="14" t="s">
        <v>408</v>
      </c>
      <c r="E16" s="14" t="n">
        <v>260</v>
      </c>
      <c r="F16" s="14"/>
      <c r="G16" s="14"/>
      <c r="H16" s="14"/>
      <c r="I16" s="14" t="n">
        <v>9</v>
      </c>
      <c r="J16" s="18" t="n">
        <f aca="false">IF(AND(ISNUMBER(E16),E16&gt;0,ISNUMBER(I16)),I16*12/E16,"")</f>
        <v>0.415384615384615</v>
      </c>
      <c r="K16" s="14"/>
      <c r="L16" s="18"/>
      <c r="M16" s="14"/>
      <c r="N16" s="14"/>
      <c r="O16" s="14"/>
      <c r="P16" s="14"/>
      <c r="Q16" s="14" t="s">
        <v>396</v>
      </c>
      <c r="R16" s="14"/>
      <c r="S16" s="14"/>
      <c r="T16" s="14"/>
      <c r="U16" s="14"/>
      <c r="V16" s="14"/>
      <c r="W16" s="16" t="s">
        <v>409</v>
      </c>
      <c r="X16" s="16" t="s">
        <v>410</v>
      </c>
      <c r="Y16" s="13" t="s">
        <v>367</v>
      </c>
      <c r="Z16" s="14"/>
      <c r="AA16" s="13" t="s">
        <v>88</v>
      </c>
    </row>
    <row r="17" customFormat="false" ht="29.85" hidden="false" customHeight="false" outlineLevel="0" collapsed="false">
      <c r="A17" s="13" t="s">
        <v>348</v>
      </c>
      <c r="B17" s="13" t="s">
        <v>411</v>
      </c>
      <c r="C17" s="13" t="s">
        <v>412</v>
      </c>
      <c r="D17" s="14" t="s">
        <v>413</v>
      </c>
      <c r="E17" s="14"/>
      <c r="F17" s="14"/>
      <c r="G17" s="14"/>
      <c r="H17" s="14"/>
      <c r="I17" s="14"/>
      <c r="J17" s="18"/>
      <c r="K17" s="14" t="n">
        <v>280</v>
      </c>
      <c r="L17" s="18" t="n">
        <v>0.06</v>
      </c>
      <c r="M17" s="14" t="n">
        <v>4600</v>
      </c>
      <c r="N17" s="14"/>
      <c r="O17" s="14"/>
      <c r="P17" s="14"/>
      <c r="Q17" s="14"/>
      <c r="R17" s="14"/>
      <c r="S17" s="14"/>
      <c r="T17" s="14"/>
      <c r="U17" s="14"/>
      <c r="V17" s="14"/>
      <c r="W17" s="16" t="s">
        <v>414</v>
      </c>
      <c r="X17" s="16" t="s">
        <v>415</v>
      </c>
      <c r="Y17" s="14"/>
      <c r="Z17" s="13" t="s">
        <v>162</v>
      </c>
      <c r="AA17" s="13" t="s">
        <v>88</v>
      </c>
    </row>
    <row r="18" customFormat="false" ht="29.85" hidden="false" customHeight="false" outlineLevel="0" collapsed="false">
      <c r="A18" s="13" t="s">
        <v>348</v>
      </c>
      <c r="B18" s="13" t="s">
        <v>416</v>
      </c>
      <c r="C18" s="13" t="s">
        <v>412</v>
      </c>
      <c r="D18" s="14" t="s">
        <v>417</v>
      </c>
      <c r="E18" s="14"/>
      <c r="F18" s="14"/>
      <c r="G18" s="14"/>
      <c r="H18" s="14"/>
      <c r="I18" s="14"/>
      <c r="J18" s="18"/>
      <c r="K18" s="14" t="n">
        <v>360</v>
      </c>
      <c r="L18" s="18" t="n">
        <v>0.07</v>
      </c>
      <c r="M18" s="14" t="n">
        <v>5100</v>
      </c>
      <c r="N18" s="14"/>
      <c r="O18" s="14"/>
      <c r="P18" s="14"/>
      <c r="Q18" s="14"/>
      <c r="R18" s="14"/>
      <c r="S18" s="14"/>
      <c r="T18" s="14"/>
      <c r="U18" s="14"/>
      <c r="V18" s="14"/>
      <c r="W18" s="16" t="s">
        <v>418</v>
      </c>
      <c r="X18" s="16" t="s">
        <v>419</v>
      </c>
      <c r="Y18" s="14"/>
      <c r="Z18" s="13" t="s">
        <v>162</v>
      </c>
      <c r="AA18" s="13" t="s">
        <v>88</v>
      </c>
    </row>
    <row r="19" customFormat="false" ht="29.85" hidden="false" customHeight="false" outlineLevel="0" collapsed="false">
      <c r="A19" s="13" t="s">
        <v>348</v>
      </c>
      <c r="B19" s="13" t="s">
        <v>420</v>
      </c>
      <c r="C19" s="13" t="s">
        <v>412</v>
      </c>
      <c r="D19" s="14" t="s">
        <v>421</v>
      </c>
      <c r="E19" s="14"/>
      <c r="F19" s="14"/>
      <c r="G19" s="14"/>
      <c r="H19" s="14"/>
      <c r="I19" s="14"/>
      <c r="J19" s="18"/>
      <c r="K19" s="14" t="n">
        <v>520</v>
      </c>
      <c r="L19" s="18" t="n">
        <v>0.08</v>
      </c>
      <c r="M19" s="14" t="n">
        <v>6500</v>
      </c>
      <c r="N19" s="14"/>
      <c r="O19" s="14"/>
      <c r="P19" s="14"/>
      <c r="Q19" s="14"/>
      <c r="R19" s="14"/>
      <c r="S19" s="14"/>
      <c r="T19" s="14"/>
      <c r="U19" s="14"/>
      <c r="V19" s="14"/>
      <c r="W19" s="16" t="s">
        <v>422</v>
      </c>
      <c r="X19" s="16" t="s">
        <v>423</v>
      </c>
      <c r="Y19" s="14"/>
      <c r="Z19" s="13" t="s">
        <v>162</v>
      </c>
      <c r="AA19" s="13" t="s">
        <v>88</v>
      </c>
    </row>
    <row r="20" customFormat="false" ht="29.85" hidden="false" customHeight="false" outlineLevel="0" collapsed="false">
      <c r="A20" s="13" t="s">
        <v>348</v>
      </c>
      <c r="B20" s="13" t="s">
        <v>424</v>
      </c>
      <c r="C20" s="13" t="s">
        <v>363</v>
      </c>
      <c r="D20" s="14" t="s">
        <v>425</v>
      </c>
      <c r="E20" s="14" t="n">
        <v>100</v>
      </c>
      <c r="F20" s="14" t="n">
        <v>100</v>
      </c>
      <c r="G20" s="14"/>
      <c r="H20" s="14"/>
      <c r="I20" s="14" t="n">
        <v>4.5</v>
      </c>
      <c r="J20" s="18" t="n">
        <f aca="false">IF(AND(ISNUMBER(E20),E20&gt;0,ISNUMBER(I20)),I20*12/E20,"")</f>
        <v>0.54</v>
      </c>
      <c r="K20" s="14"/>
      <c r="L20" s="18"/>
      <c r="M20" s="14"/>
      <c r="N20" s="14"/>
      <c r="O20" s="14"/>
      <c r="P20" s="14"/>
      <c r="Q20" s="14"/>
      <c r="R20" s="14" t="s">
        <v>352</v>
      </c>
      <c r="S20" s="14" t="n">
        <v>3</v>
      </c>
      <c r="T20" s="14"/>
      <c r="U20" s="14" t="s">
        <v>426</v>
      </c>
      <c r="V20" s="13" t="s">
        <v>427</v>
      </c>
      <c r="W20" s="16" t="s">
        <v>428</v>
      </c>
      <c r="X20" s="16" t="s">
        <v>429</v>
      </c>
      <c r="Y20" s="14"/>
      <c r="Z20" s="14"/>
      <c r="AA20" s="13" t="s">
        <v>88</v>
      </c>
    </row>
    <row r="21" customFormat="false" ht="29.85" hidden="false" customHeight="false" outlineLevel="0" collapsed="false">
      <c r="A21" s="13" t="s">
        <v>348</v>
      </c>
      <c r="B21" s="13" t="s">
        <v>430</v>
      </c>
      <c r="C21" s="13" t="s">
        <v>363</v>
      </c>
      <c r="D21" s="14" t="s">
        <v>431</v>
      </c>
      <c r="E21" s="14" t="n">
        <v>150</v>
      </c>
      <c r="F21" s="14" t="n">
        <v>150</v>
      </c>
      <c r="G21" s="14"/>
      <c r="H21" s="14"/>
      <c r="I21" s="14" t="n">
        <v>6</v>
      </c>
      <c r="J21" s="18" t="n">
        <f aca="false">IF(AND(ISNUMBER(E21),E21&gt;0,ISNUMBER(I21)),I21*12/E21,"")</f>
        <v>0.48</v>
      </c>
      <c r="K21" s="14"/>
      <c r="L21" s="18"/>
      <c r="M21" s="14"/>
      <c r="N21" s="14"/>
      <c r="O21" s="14"/>
      <c r="P21" s="14"/>
      <c r="Q21" s="14"/>
      <c r="R21" s="14" t="s">
        <v>352</v>
      </c>
      <c r="S21" s="14" t="n">
        <v>4</v>
      </c>
      <c r="T21" s="14"/>
      <c r="U21" s="14" t="s">
        <v>432</v>
      </c>
      <c r="V21" s="13" t="s">
        <v>427</v>
      </c>
      <c r="W21" s="16" t="s">
        <v>433</v>
      </c>
      <c r="X21" s="16" t="s">
        <v>434</v>
      </c>
      <c r="Y21" s="14"/>
      <c r="Z21" s="14"/>
      <c r="AA21" s="13" t="s">
        <v>88</v>
      </c>
    </row>
    <row r="22" customFormat="false" ht="29.85" hidden="false" customHeight="false" outlineLevel="0" collapsed="false">
      <c r="A22" s="13" t="s">
        <v>348</v>
      </c>
      <c r="B22" s="13" t="s">
        <v>435</v>
      </c>
      <c r="C22" s="13" t="s">
        <v>350</v>
      </c>
      <c r="D22" s="14" t="s">
        <v>436</v>
      </c>
      <c r="E22" s="14" t="n">
        <v>1000</v>
      </c>
      <c r="F22" s="14" t="n">
        <v>100</v>
      </c>
      <c r="G22" s="14" t="n">
        <v>0</v>
      </c>
      <c r="H22" s="14" t="n">
        <v>1.5</v>
      </c>
      <c r="I22" s="14"/>
      <c r="J22" s="18" t="n">
        <f aca="false">IF(AND(ISNUMBER(E22),E22&gt;0),(N(G22)-N(H22))*12/E22,"")</f>
        <v>-0.018</v>
      </c>
      <c r="K22" s="14"/>
      <c r="L22" s="18"/>
      <c r="M22" s="14"/>
      <c r="N22" s="14"/>
      <c r="O22" s="14"/>
      <c r="P22" s="14"/>
      <c r="Q22" s="14"/>
      <c r="R22" s="14"/>
      <c r="S22" s="14"/>
      <c r="T22" s="14"/>
      <c r="U22" s="14" t="s">
        <v>437</v>
      </c>
      <c r="V22" s="13" t="s">
        <v>427</v>
      </c>
      <c r="W22" s="16" t="s">
        <v>438</v>
      </c>
      <c r="X22" s="16" t="s">
        <v>439</v>
      </c>
      <c r="Y22" s="14"/>
      <c r="Z22" s="14"/>
      <c r="AA22" s="13" t="s">
        <v>88</v>
      </c>
    </row>
    <row r="23" customFormat="false" ht="29.85" hidden="false" customHeight="false" outlineLevel="0" collapsed="false">
      <c r="A23" s="13" t="s">
        <v>348</v>
      </c>
      <c r="B23" s="13" t="s">
        <v>440</v>
      </c>
      <c r="C23" s="13" t="s">
        <v>363</v>
      </c>
      <c r="D23" s="14" t="s">
        <v>441</v>
      </c>
      <c r="E23" s="14" t="n">
        <v>150</v>
      </c>
      <c r="F23" s="14"/>
      <c r="G23" s="14"/>
      <c r="H23" s="14"/>
      <c r="I23" s="14" t="n">
        <v>5.4</v>
      </c>
      <c r="J23" s="18" t="n">
        <f aca="false">IF(AND(ISNUMBER(E23),E23&gt;0,ISNUMBER(I23)),I23*12/E23,"")</f>
        <v>0.432</v>
      </c>
      <c r="K23" s="14"/>
      <c r="L23" s="18"/>
      <c r="M23" s="14"/>
      <c r="N23" s="14"/>
      <c r="O23" s="14"/>
      <c r="P23" s="14"/>
      <c r="Q23" s="14" t="s">
        <v>352</v>
      </c>
      <c r="R23" s="14"/>
      <c r="S23" s="14"/>
      <c r="T23" s="14"/>
      <c r="U23" s="14"/>
      <c r="V23" s="14"/>
      <c r="W23" s="16" t="s">
        <v>442</v>
      </c>
      <c r="X23" s="16" t="s">
        <v>443</v>
      </c>
      <c r="Y23" s="13" t="s">
        <v>367</v>
      </c>
      <c r="Z23" s="14"/>
      <c r="AA23" s="13" t="s">
        <v>313</v>
      </c>
    </row>
    <row r="24" customFormat="false" ht="15" hidden="false" customHeight="false" outlineLevel="0" collapsed="false">
      <c r="A24" s="13" t="s">
        <v>348</v>
      </c>
      <c r="B24" s="13" t="s">
        <v>444</v>
      </c>
      <c r="C24" s="13" t="s">
        <v>363</v>
      </c>
      <c r="D24" s="14" t="s">
        <v>445</v>
      </c>
      <c r="E24" s="14" t="n">
        <v>200</v>
      </c>
      <c r="F24" s="14"/>
      <c r="G24" s="14"/>
      <c r="H24" s="14"/>
      <c r="I24" s="14" t="n">
        <v>7</v>
      </c>
      <c r="J24" s="18" t="n">
        <f aca="false">IF(AND(ISNUMBER(E24),E24&gt;0,ISNUMBER(I24)),I24*12/E24,"")</f>
        <v>0.42</v>
      </c>
      <c r="K24" s="14"/>
      <c r="L24" s="18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6" t="s">
        <v>446</v>
      </c>
      <c r="X24" s="16" t="s">
        <v>447</v>
      </c>
      <c r="Y24" s="13" t="s">
        <v>367</v>
      </c>
      <c r="Z24" s="14"/>
      <c r="AA24" s="13" t="s">
        <v>313</v>
      </c>
    </row>
    <row r="25" customFormat="false" ht="29.85" hidden="false" customHeight="false" outlineLevel="0" collapsed="false">
      <c r="A25" s="13" t="s">
        <v>348</v>
      </c>
      <c r="B25" s="13" t="s">
        <v>448</v>
      </c>
      <c r="C25" s="13" t="s">
        <v>363</v>
      </c>
      <c r="D25" s="14" t="s">
        <v>449</v>
      </c>
      <c r="E25" s="14" t="n">
        <v>320</v>
      </c>
      <c r="F25" s="14"/>
      <c r="G25" s="14"/>
      <c r="H25" s="14"/>
      <c r="I25" s="14" t="n">
        <v>11</v>
      </c>
      <c r="J25" s="18" t="n">
        <f aca="false">IF(AND(ISNUMBER(E25),E25&gt;0,ISNUMBER(I25)),I25*12/E25,"")</f>
        <v>0.4125</v>
      </c>
      <c r="K25" s="14"/>
      <c r="L25" s="18"/>
      <c r="M25" s="14"/>
      <c r="N25" s="14"/>
      <c r="O25" s="14"/>
      <c r="P25" s="14"/>
      <c r="Q25" s="14" t="s">
        <v>352</v>
      </c>
      <c r="R25" s="14"/>
      <c r="S25" s="14"/>
      <c r="T25" s="14"/>
      <c r="U25" s="14"/>
      <c r="V25" s="14"/>
      <c r="W25" s="16" t="s">
        <v>450</v>
      </c>
      <c r="X25" s="16" t="s">
        <v>451</v>
      </c>
      <c r="Y25" s="13" t="s">
        <v>367</v>
      </c>
      <c r="Z25" s="14"/>
      <c r="AA25" s="13" t="s">
        <v>313</v>
      </c>
    </row>
    <row r="26" customFormat="false" ht="29.85" hidden="false" customHeight="false" outlineLevel="0" collapsed="false">
      <c r="A26" s="13" t="s">
        <v>348</v>
      </c>
      <c r="B26" s="13" t="s">
        <v>452</v>
      </c>
      <c r="C26" s="13" t="s">
        <v>363</v>
      </c>
      <c r="D26" s="14" t="s">
        <v>453</v>
      </c>
      <c r="E26" s="14" t="n">
        <v>240</v>
      </c>
      <c r="F26" s="14"/>
      <c r="G26" s="14"/>
      <c r="H26" s="14"/>
      <c r="I26" s="14" t="n">
        <v>8.4</v>
      </c>
      <c r="J26" s="18" t="n">
        <f aca="false">IF(AND(ISNUMBER(E26),E26&gt;0,ISNUMBER(I26)),I26*12/E26,"")</f>
        <v>0.42</v>
      </c>
      <c r="K26" s="14"/>
      <c r="L26" s="18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6" t="s">
        <v>454</v>
      </c>
      <c r="X26" s="16" t="s">
        <v>455</v>
      </c>
      <c r="Y26" s="13" t="s">
        <v>367</v>
      </c>
      <c r="Z26" s="14"/>
      <c r="AA26" s="13" t="s">
        <v>313</v>
      </c>
    </row>
    <row r="27" customFormat="false" ht="29.85" hidden="false" customHeight="false" outlineLevel="0" collapsed="false">
      <c r="A27" s="13" t="s">
        <v>348</v>
      </c>
      <c r="B27" s="13" t="s">
        <v>456</v>
      </c>
      <c r="C27" s="13" t="s">
        <v>350</v>
      </c>
      <c r="D27" s="14" t="s">
        <v>457</v>
      </c>
      <c r="E27" s="14" t="n">
        <v>1900</v>
      </c>
      <c r="F27" s="14" t="n">
        <v>380</v>
      </c>
      <c r="G27" s="14" t="n">
        <v>15</v>
      </c>
      <c r="H27" s="14" t="n">
        <v>1.8</v>
      </c>
      <c r="I27" s="14"/>
      <c r="J27" s="18" t="n">
        <f aca="false">IF(AND(ISNUMBER(E27),E27&gt;0),(N(G27)-N(H27))*12/E27,"")</f>
        <v>0.0833684210526316</v>
      </c>
      <c r="K27" s="14"/>
      <c r="L27" s="18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6" t="s">
        <v>458</v>
      </c>
      <c r="X27" s="16" t="s">
        <v>459</v>
      </c>
      <c r="Y27" s="13" t="s">
        <v>393</v>
      </c>
      <c r="Z27" s="14"/>
      <c r="AA27" s="13" t="s">
        <v>313</v>
      </c>
    </row>
    <row r="28" customFormat="false" ht="15" hidden="false" customHeight="false" outlineLevel="0" collapsed="false">
      <c r="A28" s="13" t="s">
        <v>348</v>
      </c>
      <c r="B28" s="13" t="s">
        <v>460</v>
      </c>
      <c r="C28" s="13" t="s">
        <v>350</v>
      </c>
      <c r="D28" s="14" t="s">
        <v>461</v>
      </c>
      <c r="E28" s="14" t="n">
        <v>980</v>
      </c>
      <c r="F28" s="14" t="n">
        <v>196</v>
      </c>
      <c r="G28" s="14" t="n">
        <v>8.5</v>
      </c>
      <c r="H28" s="14" t="n">
        <v>1</v>
      </c>
      <c r="I28" s="14"/>
      <c r="J28" s="18" t="n">
        <f aca="false">IF(AND(ISNUMBER(E28),E28&gt;0),(N(G28)-N(H28))*12/E28,"")</f>
        <v>0.0918367346938776</v>
      </c>
      <c r="K28" s="14"/>
      <c r="L28" s="18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6" t="s">
        <v>462</v>
      </c>
      <c r="X28" s="16" t="s">
        <v>463</v>
      </c>
      <c r="Y28" s="13" t="s">
        <v>356</v>
      </c>
      <c r="Z28" s="14"/>
      <c r="AA28" s="13" t="s">
        <v>313</v>
      </c>
    </row>
    <row r="29" customFormat="false" ht="15" hidden="false" customHeight="false" outlineLevel="0" collapsed="false">
      <c r="A29" s="13" t="s">
        <v>348</v>
      </c>
      <c r="B29" s="13" t="s">
        <v>464</v>
      </c>
      <c r="C29" s="13" t="s">
        <v>350</v>
      </c>
      <c r="D29" s="14" t="s">
        <v>465</v>
      </c>
      <c r="E29" s="14" t="n">
        <v>1350</v>
      </c>
      <c r="F29" s="14" t="n">
        <v>405</v>
      </c>
      <c r="G29" s="14" t="n">
        <v>11</v>
      </c>
      <c r="H29" s="14" t="n">
        <v>1.3</v>
      </c>
      <c r="I29" s="14"/>
      <c r="J29" s="18" t="n">
        <f aca="false">IF(AND(ISNUMBER(E29),E29&gt;0),(N(G29)-N(H29))*12/E29,"")</f>
        <v>0.0862222222222222</v>
      </c>
      <c r="K29" s="14"/>
      <c r="L29" s="18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6" t="s">
        <v>466</v>
      </c>
      <c r="X29" s="16" t="s">
        <v>467</v>
      </c>
      <c r="Y29" s="13" t="s">
        <v>356</v>
      </c>
      <c r="Z29" s="14"/>
      <c r="AA29" s="13" t="s">
        <v>313</v>
      </c>
    </row>
    <row r="30" customFormat="false" ht="29.85" hidden="false" customHeight="false" outlineLevel="0" collapsed="false">
      <c r="A30" s="13" t="s">
        <v>348</v>
      </c>
      <c r="B30" s="13" t="s">
        <v>468</v>
      </c>
      <c r="C30" s="13" t="s">
        <v>350</v>
      </c>
      <c r="D30" s="14" t="s">
        <v>469</v>
      </c>
      <c r="E30" s="14" t="n">
        <v>1150</v>
      </c>
      <c r="F30" s="14" t="n">
        <v>230</v>
      </c>
      <c r="G30" s="14" t="n">
        <v>9.5</v>
      </c>
      <c r="H30" s="14" t="n">
        <v>1.1</v>
      </c>
      <c r="I30" s="14"/>
      <c r="J30" s="18" t="n">
        <f aca="false">IF(AND(ISNUMBER(E30),E30&gt;0),(N(G30)-N(H30))*12/E30,"")</f>
        <v>0.0876521739130435</v>
      </c>
      <c r="K30" s="14"/>
      <c r="L30" s="18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6" t="s">
        <v>470</v>
      </c>
      <c r="X30" s="16" t="s">
        <v>471</v>
      </c>
      <c r="Y30" s="13" t="s">
        <v>356</v>
      </c>
      <c r="Z30" s="14"/>
      <c r="AA30" s="13" t="s">
        <v>313</v>
      </c>
    </row>
    <row r="31" customFormat="false" ht="29.85" hidden="false" customHeight="false" outlineLevel="0" collapsed="false">
      <c r="A31" s="13" t="s">
        <v>348</v>
      </c>
      <c r="B31" s="13" t="s">
        <v>472</v>
      </c>
      <c r="C31" s="13" t="s">
        <v>363</v>
      </c>
      <c r="D31" s="14" t="s">
        <v>473</v>
      </c>
      <c r="E31" s="14" t="n">
        <v>220</v>
      </c>
      <c r="F31" s="14"/>
      <c r="G31" s="14"/>
      <c r="H31" s="14"/>
      <c r="I31" s="14" t="n">
        <v>8.5</v>
      </c>
      <c r="J31" s="18" t="n">
        <f aca="false">IF(AND(ISNUMBER(E31),E31&gt;0,ISNUMBER(I31)),I31*12/E31,"")</f>
        <v>0.463636363636364</v>
      </c>
      <c r="K31" s="14"/>
      <c r="L31" s="18"/>
      <c r="M31" s="14"/>
      <c r="N31" s="14"/>
      <c r="O31" s="14"/>
      <c r="P31" s="14"/>
      <c r="Q31" s="14" t="s">
        <v>352</v>
      </c>
      <c r="R31" s="14"/>
      <c r="S31" s="14"/>
      <c r="T31" s="14"/>
      <c r="U31" s="14"/>
      <c r="V31" s="14"/>
      <c r="W31" s="16" t="s">
        <v>474</v>
      </c>
      <c r="X31" s="16" t="s">
        <v>475</v>
      </c>
      <c r="Y31" s="13" t="s">
        <v>367</v>
      </c>
      <c r="Z31" s="14"/>
      <c r="AA31" s="13" t="s">
        <v>313</v>
      </c>
    </row>
    <row r="32" customFormat="false" ht="29.85" hidden="false" customHeight="false" outlineLevel="0" collapsed="false">
      <c r="A32" s="13" t="s">
        <v>348</v>
      </c>
      <c r="B32" s="13" t="s">
        <v>476</v>
      </c>
      <c r="C32" s="13" t="s">
        <v>363</v>
      </c>
      <c r="D32" s="14" t="s">
        <v>477</v>
      </c>
      <c r="E32" s="14" t="n">
        <v>180</v>
      </c>
      <c r="F32" s="14"/>
      <c r="G32" s="14"/>
      <c r="H32" s="14"/>
      <c r="I32" s="14" t="n">
        <v>6.2</v>
      </c>
      <c r="J32" s="18" t="n">
        <f aca="false">IF(AND(ISNUMBER(E32),E32&gt;0,ISNUMBER(I32)),I32*12/E32,"")</f>
        <v>0.413333333333333</v>
      </c>
      <c r="K32" s="14"/>
      <c r="L32" s="18"/>
      <c r="M32" s="14"/>
      <c r="N32" s="14"/>
      <c r="O32" s="14"/>
      <c r="P32" s="14"/>
      <c r="Q32" s="14" t="s">
        <v>352</v>
      </c>
      <c r="R32" s="14"/>
      <c r="S32" s="14"/>
      <c r="T32" s="14"/>
      <c r="U32" s="14"/>
      <c r="V32" s="14"/>
      <c r="W32" s="16" t="s">
        <v>478</v>
      </c>
      <c r="X32" s="16" t="s">
        <v>479</v>
      </c>
      <c r="Y32" s="13" t="s">
        <v>367</v>
      </c>
      <c r="Z32" s="14"/>
      <c r="AA32" s="13" t="s">
        <v>313</v>
      </c>
    </row>
    <row r="33" customFormat="false" ht="29.85" hidden="false" customHeight="false" outlineLevel="0" collapsed="false">
      <c r="A33" s="13" t="s">
        <v>348</v>
      </c>
      <c r="B33" s="13" t="s">
        <v>480</v>
      </c>
      <c r="C33" s="13" t="s">
        <v>363</v>
      </c>
      <c r="D33" s="14" t="s">
        <v>481</v>
      </c>
      <c r="E33" s="14" t="n">
        <v>130</v>
      </c>
      <c r="F33" s="14"/>
      <c r="G33" s="14"/>
      <c r="H33" s="14"/>
      <c r="I33" s="14" t="n">
        <v>4.6</v>
      </c>
      <c r="J33" s="18" t="n">
        <f aca="false">IF(AND(ISNUMBER(E33),E33&gt;0,ISNUMBER(I33)),I33*12/E33,"")</f>
        <v>0.424615384615385</v>
      </c>
      <c r="K33" s="14"/>
      <c r="L33" s="18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6" t="s">
        <v>482</v>
      </c>
      <c r="X33" s="16" t="s">
        <v>483</v>
      </c>
      <c r="Y33" s="13" t="s">
        <v>367</v>
      </c>
      <c r="Z33" s="14"/>
      <c r="AA33" s="13" t="s">
        <v>313</v>
      </c>
    </row>
    <row r="34" customFormat="false" ht="29.85" hidden="false" customHeight="false" outlineLevel="0" collapsed="false">
      <c r="A34" s="13" t="s">
        <v>348</v>
      </c>
      <c r="B34" s="13" t="s">
        <v>484</v>
      </c>
      <c r="C34" s="13" t="s">
        <v>363</v>
      </c>
      <c r="D34" s="14" t="s">
        <v>485</v>
      </c>
      <c r="E34" s="14" t="n">
        <v>160</v>
      </c>
      <c r="F34" s="14"/>
      <c r="G34" s="14"/>
      <c r="H34" s="14"/>
      <c r="I34" s="14" t="n">
        <v>5.8</v>
      </c>
      <c r="J34" s="18" t="n">
        <f aca="false">IF(AND(ISNUMBER(E34),E34&gt;0,ISNUMBER(I34)),I34*12/E34,"")</f>
        <v>0.435</v>
      </c>
      <c r="K34" s="14"/>
      <c r="L34" s="18"/>
      <c r="M34" s="14"/>
      <c r="N34" s="14"/>
      <c r="O34" s="14"/>
      <c r="P34" s="14"/>
      <c r="Q34" s="14" t="s">
        <v>352</v>
      </c>
      <c r="R34" s="14"/>
      <c r="S34" s="14"/>
      <c r="T34" s="14"/>
      <c r="U34" s="14"/>
      <c r="V34" s="14"/>
      <c r="W34" s="16" t="s">
        <v>486</v>
      </c>
      <c r="X34" s="16" t="s">
        <v>487</v>
      </c>
      <c r="Y34" s="13" t="s">
        <v>367</v>
      </c>
      <c r="Z34" s="14"/>
      <c r="AA34" s="13" t="s">
        <v>313</v>
      </c>
    </row>
    <row r="35" customFormat="false" ht="29.85" hidden="false" customHeight="false" outlineLevel="0" collapsed="false">
      <c r="A35" s="13" t="s">
        <v>348</v>
      </c>
      <c r="B35" s="13" t="s">
        <v>488</v>
      </c>
      <c r="C35" s="13" t="s">
        <v>363</v>
      </c>
      <c r="D35" s="14" t="s">
        <v>489</v>
      </c>
      <c r="E35" s="14" t="n">
        <v>240</v>
      </c>
      <c r="F35" s="14"/>
      <c r="G35" s="14"/>
      <c r="H35" s="14"/>
      <c r="I35" s="14" t="n">
        <v>8</v>
      </c>
      <c r="J35" s="18" t="n">
        <f aca="false">IF(AND(ISNUMBER(E35),E35&gt;0,ISNUMBER(I35)),I35*12/E35,"")</f>
        <v>0.4</v>
      </c>
      <c r="K35" s="14"/>
      <c r="L35" s="18"/>
      <c r="M35" s="14"/>
      <c r="N35" s="14"/>
      <c r="O35" s="14"/>
      <c r="P35" s="14"/>
      <c r="Q35" s="14" t="s">
        <v>352</v>
      </c>
      <c r="R35" s="14"/>
      <c r="S35" s="14"/>
      <c r="T35" s="14"/>
      <c r="U35" s="14"/>
      <c r="V35" s="14"/>
      <c r="W35" s="16" t="s">
        <v>490</v>
      </c>
      <c r="X35" s="16" t="s">
        <v>491</v>
      </c>
      <c r="Y35" s="13" t="s">
        <v>367</v>
      </c>
      <c r="Z35" s="14"/>
      <c r="AA35" s="13" t="s">
        <v>313</v>
      </c>
    </row>
    <row r="36" customFormat="false" ht="15" hidden="false" customHeight="false" outlineLevel="0" collapsed="false">
      <c r="A36" s="13" t="s">
        <v>348</v>
      </c>
      <c r="B36" s="13" t="s">
        <v>492</v>
      </c>
      <c r="C36" s="13" t="s">
        <v>363</v>
      </c>
      <c r="D36" s="14" t="s">
        <v>493</v>
      </c>
      <c r="E36" s="14" t="n">
        <v>300</v>
      </c>
      <c r="F36" s="14"/>
      <c r="G36" s="14"/>
      <c r="H36" s="14"/>
      <c r="I36" s="14" t="n">
        <v>10.5</v>
      </c>
      <c r="J36" s="18" t="n">
        <f aca="false">IF(AND(ISNUMBER(E36),E36&gt;0,ISNUMBER(I36)),I36*12/E36,"")</f>
        <v>0.42</v>
      </c>
      <c r="K36" s="14"/>
      <c r="L36" s="18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6" t="s">
        <v>494</v>
      </c>
      <c r="X36" s="16" t="s">
        <v>495</v>
      </c>
      <c r="Y36" s="13" t="s">
        <v>367</v>
      </c>
      <c r="Z36" s="14"/>
      <c r="AA36" s="13" t="s">
        <v>313</v>
      </c>
    </row>
    <row r="37" customFormat="false" ht="15" hidden="false" customHeight="false" outlineLevel="0" collapsed="false">
      <c r="A37" s="13" t="s">
        <v>348</v>
      </c>
      <c r="B37" s="13" t="s">
        <v>496</v>
      </c>
      <c r="C37" s="13" t="s">
        <v>363</v>
      </c>
      <c r="D37" s="14" t="s">
        <v>497</v>
      </c>
      <c r="E37" s="14" t="n">
        <v>260</v>
      </c>
      <c r="F37" s="14"/>
      <c r="G37" s="14"/>
      <c r="H37" s="14"/>
      <c r="I37" s="14" t="n">
        <v>9</v>
      </c>
      <c r="J37" s="18" t="n">
        <f aca="false">IF(AND(ISNUMBER(E37),E37&gt;0,ISNUMBER(I37)),I37*12/E37,"")</f>
        <v>0.415384615384615</v>
      </c>
      <c r="K37" s="14"/>
      <c r="L37" s="18"/>
      <c r="M37" s="14"/>
      <c r="N37" s="14"/>
      <c r="O37" s="14"/>
      <c r="P37" s="14"/>
      <c r="Q37" s="14" t="s">
        <v>352</v>
      </c>
      <c r="R37" s="14"/>
      <c r="S37" s="14"/>
      <c r="T37" s="14"/>
      <c r="U37" s="14"/>
      <c r="V37" s="14"/>
      <c r="W37" s="16" t="s">
        <v>498</v>
      </c>
      <c r="X37" s="16" t="s">
        <v>499</v>
      </c>
      <c r="Y37" s="13" t="s">
        <v>367</v>
      </c>
      <c r="Z37" s="14"/>
      <c r="AA37" s="13" t="s">
        <v>313</v>
      </c>
    </row>
    <row r="38" customFormat="false" ht="15" hidden="false" customHeight="false" outlineLevel="0" collapsed="false">
      <c r="A38" s="13" t="s">
        <v>500</v>
      </c>
      <c r="B38" s="13" t="s">
        <v>501</v>
      </c>
      <c r="C38" s="13" t="s">
        <v>350</v>
      </c>
      <c r="D38" s="14" t="s">
        <v>502</v>
      </c>
      <c r="E38" s="14" t="n">
        <v>12000</v>
      </c>
      <c r="F38" s="14" t="n">
        <v>2400</v>
      </c>
      <c r="G38" s="14" t="n">
        <v>68</v>
      </c>
      <c r="H38" s="14" t="n">
        <v>8</v>
      </c>
      <c r="I38" s="14"/>
      <c r="J38" s="18" t="n">
        <f aca="false">IF(AND(ISNUMBER(E38),E38&gt;0),(N(G38)-N(H38))*12/E38,"")</f>
        <v>0.06</v>
      </c>
      <c r="K38" s="14"/>
      <c r="L38" s="18"/>
      <c r="M38" s="14"/>
      <c r="N38" s="14" t="n">
        <v>0.022</v>
      </c>
      <c r="O38" s="14" t="s">
        <v>352</v>
      </c>
      <c r="P38" s="13" t="s">
        <v>503</v>
      </c>
      <c r="Q38" s="14"/>
      <c r="R38" s="14"/>
      <c r="S38" s="14"/>
      <c r="T38" s="14"/>
      <c r="U38" s="14"/>
      <c r="V38" s="14"/>
      <c r="W38" s="16" t="s">
        <v>504</v>
      </c>
      <c r="X38" s="16" t="s">
        <v>505</v>
      </c>
      <c r="Y38" s="13" t="s">
        <v>377</v>
      </c>
      <c r="Z38" s="14"/>
      <c r="AA38" s="13" t="s">
        <v>88</v>
      </c>
    </row>
    <row r="39" customFormat="false" ht="29.85" hidden="false" customHeight="false" outlineLevel="0" collapsed="false">
      <c r="A39" s="13" t="s">
        <v>500</v>
      </c>
      <c r="B39" s="13" t="s">
        <v>506</v>
      </c>
      <c r="C39" s="13" t="s">
        <v>350</v>
      </c>
      <c r="D39" s="14" t="s">
        <v>507</v>
      </c>
      <c r="E39" s="14" t="n">
        <v>18000</v>
      </c>
      <c r="F39" s="14" t="n">
        <v>3600</v>
      </c>
      <c r="G39" s="14" t="n">
        <v>98</v>
      </c>
      <c r="H39" s="14" t="n">
        <v>10</v>
      </c>
      <c r="I39" s="14"/>
      <c r="J39" s="18" t="n">
        <f aca="false">IF(AND(ISNUMBER(E39),E39&gt;0),(N(G39)-N(H39))*12/E39,"")</f>
        <v>0.0586666666666667</v>
      </c>
      <c r="K39" s="14"/>
      <c r="L39" s="18"/>
      <c r="M39" s="14"/>
      <c r="N39" s="14" t="n">
        <v>0.022</v>
      </c>
      <c r="O39" s="14" t="s">
        <v>352</v>
      </c>
      <c r="P39" s="13" t="s">
        <v>508</v>
      </c>
      <c r="Q39" s="14"/>
      <c r="R39" s="14"/>
      <c r="S39" s="14"/>
      <c r="T39" s="14"/>
      <c r="U39" s="14"/>
      <c r="V39" s="14"/>
      <c r="W39" s="16" t="s">
        <v>509</v>
      </c>
      <c r="X39" s="16" t="s">
        <v>510</v>
      </c>
      <c r="Y39" s="13" t="s">
        <v>377</v>
      </c>
      <c r="Z39" s="14"/>
      <c r="AA39" s="13" t="s">
        <v>88</v>
      </c>
    </row>
    <row r="40" customFormat="false" ht="15" hidden="false" customHeight="false" outlineLevel="0" collapsed="false">
      <c r="A40" s="13" t="s">
        <v>500</v>
      </c>
      <c r="B40" s="13" t="s">
        <v>511</v>
      </c>
      <c r="C40" s="13" t="s">
        <v>350</v>
      </c>
      <c r="D40" s="14" t="s">
        <v>512</v>
      </c>
      <c r="E40" s="14" t="n">
        <v>15000</v>
      </c>
      <c r="F40" s="14" t="n">
        <v>3000</v>
      </c>
      <c r="G40" s="14" t="n">
        <v>88</v>
      </c>
      <c r="H40" s="14" t="n">
        <v>9</v>
      </c>
      <c r="I40" s="14"/>
      <c r="J40" s="18" t="n">
        <f aca="false">IF(AND(ISNUMBER(E40),E40&gt;0),(N(G40)-N(H40))*12/E40,"")</f>
        <v>0.0632</v>
      </c>
      <c r="K40" s="14"/>
      <c r="L40" s="18"/>
      <c r="M40" s="14"/>
      <c r="N40" s="14" t="n">
        <v>0.023</v>
      </c>
      <c r="O40" s="14" t="s">
        <v>352</v>
      </c>
      <c r="P40" s="13" t="s">
        <v>513</v>
      </c>
      <c r="Q40" s="14"/>
      <c r="R40" s="14"/>
      <c r="S40" s="14"/>
      <c r="T40" s="14"/>
      <c r="U40" s="14"/>
      <c r="V40" s="14"/>
      <c r="W40" s="16" t="s">
        <v>514</v>
      </c>
      <c r="X40" s="16" t="s">
        <v>515</v>
      </c>
      <c r="Y40" s="13" t="s">
        <v>377</v>
      </c>
      <c r="Z40" s="14"/>
      <c r="AA40" s="13" t="s">
        <v>88</v>
      </c>
    </row>
    <row r="41" customFormat="false" ht="15" hidden="false" customHeight="false" outlineLevel="0" collapsed="false">
      <c r="A41" s="13" t="s">
        <v>500</v>
      </c>
      <c r="B41" s="13" t="s">
        <v>516</v>
      </c>
      <c r="C41" s="13" t="s">
        <v>350</v>
      </c>
      <c r="D41" s="14" t="s">
        <v>517</v>
      </c>
      <c r="E41" s="14" t="n">
        <v>9000</v>
      </c>
      <c r="F41" s="14" t="n">
        <v>1800</v>
      </c>
      <c r="G41" s="14" t="n">
        <v>64</v>
      </c>
      <c r="H41" s="14" t="n">
        <v>12</v>
      </c>
      <c r="I41" s="14"/>
      <c r="J41" s="18" t="n">
        <f aca="false">IF(AND(ISNUMBER(E41),E41&gt;0),(N(G41)-N(H41))*12/E41,"")</f>
        <v>0.0693333333333333</v>
      </c>
      <c r="K41" s="14"/>
      <c r="L41" s="18"/>
      <c r="M41" s="14"/>
      <c r="N41" s="14" t="n">
        <v>0.025</v>
      </c>
      <c r="O41" s="14" t="s">
        <v>352</v>
      </c>
      <c r="P41" s="13" t="s">
        <v>518</v>
      </c>
      <c r="Q41" s="14"/>
      <c r="R41" s="14"/>
      <c r="S41" s="14"/>
      <c r="T41" s="14"/>
      <c r="U41" s="14"/>
      <c r="V41" s="14"/>
      <c r="W41" s="16" t="s">
        <v>519</v>
      </c>
      <c r="X41" s="16" t="s">
        <v>520</v>
      </c>
      <c r="Y41" s="13" t="s">
        <v>521</v>
      </c>
      <c r="Z41" s="14"/>
      <c r="AA41" s="13" t="s">
        <v>88</v>
      </c>
    </row>
    <row r="42" customFormat="false" ht="15" hidden="false" customHeight="false" outlineLevel="0" collapsed="false">
      <c r="A42" s="13" t="s">
        <v>500</v>
      </c>
      <c r="B42" s="13" t="s">
        <v>522</v>
      </c>
      <c r="C42" s="13" t="s">
        <v>350</v>
      </c>
      <c r="D42" s="14" t="s">
        <v>523</v>
      </c>
      <c r="E42" s="14" t="n">
        <v>22000</v>
      </c>
      <c r="F42" s="14" t="n">
        <v>4400</v>
      </c>
      <c r="G42" s="14" t="n">
        <v>132</v>
      </c>
      <c r="H42" s="14" t="n">
        <v>14</v>
      </c>
      <c r="I42" s="14"/>
      <c r="J42" s="18" t="n">
        <f aca="false">IF(AND(ISNUMBER(E42),E42&gt;0),(N(G42)-N(H42))*12/E42,"")</f>
        <v>0.0643636363636364</v>
      </c>
      <c r="K42" s="14"/>
      <c r="L42" s="18"/>
      <c r="M42" s="14"/>
      <c r="N42" s="14" t="n">
        <v>0.024</v>
      </c>
      <c r="O42" s="14" t="s">
        <v>352</v>
      </c>
      <c r="P42" s="13" t="s">
        <v>524</v>
      </c>
      <c r="Q42" s="14"/>
      <c r="R42" s="14"/>
      <c r="S42" s="14"/>
      <c r="T42" s="14"/>
      <c r="U42" s="14"/>
      <c r="V42" s="14"/>
      <c r="W42" s="16" t="s">
        <v>525</v>
      </c>
      <c r="X42" s="16" t="s">
        <v>526</v>
      </c>
      <c r="Y42" s="13" t="s">
        <v>527</v>
      </c>
      <c r="Z42" s="14"/>
      <c r="AA42" s="13" t="s">
        <v>88</v>
      </c>
    </row>
    <row r="43" customFormat="false" ht="15" hidden="false" customHeight="false" outlineLevel="0" collapsed="false">
      <c r="A43" s="13" t="s">
        <v>500</v>
      </c>
      <c r="B43" s="13" t="s">
        <v>528</v>
      </c>
      <c r="C43" s="13" t="s">
        <v>350</v>
      </c>
      <c r="D43" s="14" t="s">
        <v>529</v>
      </c>
      <c r="E43" s="14" t="n">
        <v>4800</v>
      </c>
      <c r="F43" s="14" t="n">
        <v>960</v>
      </c>
      <c r="G43" s="14" t="n">
        <v>34</v>
      </c>
      <c r="H43" s="14" t="n">
        <v>2</v>
      </c>
      <c r="I43" s="14"/>
      <c r="J43" s="18" t="n">
        <f aca="false">IF(AND(ISNUMBER(E43),E43&gt;0),(N(G43)-N(H43))*12/E43,"")</f>
        <v>0.08</v>
      </c>
      <c r="K43" s="14"/>
      <c r="L43" s="18"/>
      <c r="M43" s="14"/>
      <c r="N43" s="14" t="n">
        <v>0.026</v>
      </c>
      <c r="O43" s="14" t="s">
        <v>352</v>
      </c>
      <c r="P43" s="13" t="s">
        <v>530</v>
      </c>
      <c r="Q43" s="14"/>
      <c r="R43" s="14"/>
      <c r="S43" s="14"/>
      <c r="T43" s="14"/>
      <c r="U43" s="14"/>
      <c r="V43" s="14"/>
      <c r="W43" s="16" t="s">
        <v>531</v>
      </c>
      <c r="X43" s="16" t="s">
        <v>532</v>
      </c>
      <c r="Y43" s="13" t="s">
        <v>356</v>
      </c>
      <c r="Z43" s="14"/>
      <c r="AA43" s="13" t="s">
        <v>88</v>
      </c>
    </row>
    <row r="44" customFormat="false" ht="15" hidden="false" customHeight="false" outlineLevel="0" collapsed="false">
      <c r="A44" s="13" t="s">
        <v>500</v>
      </c>
      <c r="B44" s="13" t="s">
        <v>533</v>
      </c>
      <c r="C44" s="13" t="s">
        <v>363</v>
      </c>
      <c r="D44" s="14" t="s">
        <v>534</v>
      </c>
      <c r="E44" s="14" t="n">
        <v>3200</v>
      </c>
      <c r="F44" s="14"/>
      <c r="G44" s="14"/>
      <c r="H44" s="14"/>
      <c r="I44" s="14" t="n">
        <v>88</v>
      </c>
      <c r="J44" s="18" t="n">
        <f aca="false">IF(AND(ISNUMBER(E44),E44&gt;0,ISNUMBER(I44)),I44*12/E44,"")</f>
        <v>0.33</v>
      </c>
      <c r="K44" s="14"/>
      <c r="L44" s="18"/>
      <c r="M44" s="14"/>
      <c r="N44" s="14"/>
      <c r="O44" s="14"/>
      <c r="P44" s="14"/>
      <c r="Q44" s="14" t="s">
        <v>396</v>
      </c>
      <c r="R44" s="14"/>
      <c r="S44" s="14"/>
      <c r="T44" s="14"/>
      <c r="U44" s="14"/>
      <c r="V44" s="14"/>
      <c r="W44" s="16" t="s">
        <v>535</v>
      </c>
      <c r="X44" s="16" t="s">
        <v>536</v>
      </c>
      <c r="Y44" s="13" t="s">
        <v>367</v>
      </c>
      <c r="Z44" s="14"/>
      <c r="AA44" s="13" t="s">
        <v>88</v>
      </c>
    </row>
    <row r="45" customFormat="false" ht="15" hidden="false" customHeight="false" outlineLevel="0" collapsed="false">
      <c r="A45" s="13" t="s">
        <v>500</v>
      </c>
      <c r="B45" s="13" t="s">
        <v>537</v>
      </c>
      <c r="C45" s="13" t="s">
        <v>363</v>
      </c>
      <c r="D45" s="14" t="s">
        <v>538</v>
      </c>
      <c r="E45" s="14" t="n">
        <v>5000</v>
      </c>
      <c r="F45" s="14"/>
      <c r="G45" s="14"/>
      <c r="H45" s="14"/>
      <c r="I45" s="14" t="n">
        <v>128</v>
      </c>
      <c r="J45" s="18" t="n">
        <f aca="false">IF(AND(ISNUMBER(E45),E45&gt;0,ISNUMBER(I45)),I45*12/E45,"")</f>
        <v>0.3072</v>
      </c>
      <c r="K45" s="14"/>
      <c r="L45" s="18"/>
      <c r="M45" s="14"/>
      <c r="N45" s="14"/>
      <c r="O45" s="14"/>
      <c r="P45" s="14"/>
      <c r="Q45" s="14" t="s">
        <v>352</v>
      </c>
      <c r="R45" s="14"/>
      <c r="S45" s="14"/>
      <c r="T45" s="14"/>
      <c r="U45" s="14"/>
      <c r="V45" s="14"/>
      <c r="W45" s="16" t="s">
        <v>539</v>
      </c>
      <c r="X45" s="16" t="s">
        <v>540</v>
      </c>
      <c r="Y45" s="13" t="s">
        <v>367</v>
      </c>
      <c r="Z45" s="14"/>
      <c r="AA45" s="13" t="s">
        <v>88</v>
      </c>
    </row>
    <row r="46" customFormat="false" ht="15" hidden="false" customHeight="false" outlineLevel="0" collapsed="false">
      <c r="A46" s="13" t="s">
        <v>500</v>
      </c>
      <c r="B46" s="13" t="s">
        <v>541</v>
      </c>
      <c r="C46" s="13" t="s">
        <v>412</v>
      </c>
      <c r="D46" s="13" t="s">
        <v>542</v>
      </c>
      <c r="E46" s="14"/>
      <c r="F46" s="14"/>
      <c r="G46" s="14"/>
      <c r="H46" s="14"/>
      <c r="I46" s="14"/>
      <c r="J46" s="18"/>
      <c r="K46" s="14" t="n">
        <v>1500</v>
      </c>
      <c r="L46" s="18" t="n">
        <v>0.08</v>
      </c>
      <c r="M46" s="14" t="n">
        <v>18750</v>
      </c>
      <c r="N46" s="14"/>
      <c r="O46" s="14"/>
      <c r="P46" s="14"/>
      <c r="Q46" s="14"/>
      <c r="R46" s="14"/>
      <c r="S46" s="14"/>
      <c r="T46" s="14"/>
      <c r="U46" s="14"/>
      <c r="V46" s="14"/>
      <c r="W46" s="16" t="s">
        <v>543</v>
      </c>
      <c r="X46" s="16" t="s">
        <v>544</v>
      </c>
      <c r="Y46" s="13" t="s">
        <v>545</v>
      </c>
      <c r="Z46" s="13" t="s">
        <v>162</v>
      </c>
      <c r="AA46" s="13" t="s">
        <v>88</v>
      </c>
    </row>
    <row r="47" customFormat="false" ht="29.85" hidden="false" customHeight="false" outlineLevel="0" collapsed="false">
      <c r="A47" s="13" t="s">
        <v>500</v>
      </c>
      <c r="B47" s="13" t="s">
        <v>546</v>
      </c>
      <c r="C47" s="13" t="s">
        <v>412</v>
      </c>
      <c r="D47" s="14" t="s">
        <v>547</v>
      </c>
      <c r="E47" s="14"/>
      <c r="F47" s="14"/>
      <c r="G47" s="14"/>
      <c r="H47" s="14"/>
      <c r="I47" s="14"/>
      <c r="J47" s="18"/>
      <c r="K47" s="14" t="n">
        <v>2500</v>
      </c>
      <c r="L47" s="18" t="n">
        <v>0.1</v>
      </c>
      <c r="M47" s="14" t="n">
        <v>25000</v>
      </c>
      <c r="N47" s="14"/>
      <c r="O47" s="14"/>
      <c r="P47" s="14"/>
      <c r="Q47" s="14"/>
      <c r="R47" s="14"/>
      <c r="S47" s="14"/>
      <c r="T47" s="14"/>
      <c r="U47" s="14"/>
      <c r="V47" s="14"/>
      <c r="W47" s="16" t="s">
        <v>548</v>
      </c>
      <c r="X47" s="16" t="s">
        <v>549</v>
      </c>
      <c r="Y47" s="13" t="s">
        <v>545</v>
      </c>
      <c r="Z47" s="13" t="s">
        <v>162</v>
      </c>
      <c r="AA47" s="13" t="s">
        <v>88</v>
      </c>
    </row>
    <row r="48" customFormat="false" ht="29.85" hidden="false" customHeight="false" outlineLevel="0" collapsed="false">
      <c r="A48" s="13" t="s">
        <v>500</v>
      </c>
      <c r="B48" s="13" t="s">
        <v>550</v>
      </c>
      <c r="C48" s="13" t="s">
        <v>363</v>
      </c>
      <c r="D48" s="14" t="s">
        <v>551</v>
      </c>
      <c r="E48" s="14" t="n">
        <v>800</v>
      </c>
      <c r="F48" s="14" t="n">
        <v>800</v>
      </c>
      <c r="G48" s="14"/>
      <c r="H48" s="14"/>
      <c r="I48" s="14" t="n">
        <v>36</v>
      </c>
      <c r="J48" s="18" t="n">
        <f aca="false">IF(AND(ISNUMBER(E48),E48&gt;0,ISNUMBER(I48)),I48*12/E48,"")</f>
        <v>0.54</v>
      </c>
      <c r="K48" s="14"/>
      <c r="L48" s="18"/>
      <c r="M48" s="14"/>
      <c r="N48" s="14"/>
      <c r="O48" s="14"/>
      <c r="P48" s="14"/>
      <c r="Q48" s="14"/>
      <c r="R48" s="14" t="s">
        <v>352</v>
      </c>
      <c r="S48" s="14" t="n">
        <v>4</v>
      </c>
      <c r="T48" s="14"/>
      <c r="U48" s="14" t="s">
        <v>552</v>
      </c>
      <c r="V48" s="13" t="s">
        <v>427</v>
      </c>
      <c r="W48" s="16" t="s">
        <v>553</v>
      </c>
      <c r="X48" s="16" t="s">
        <v>554</v>
      </c>
      <c r="Y48" s="14"/>
      <c r="Z48" s="14"/>
      <c r="AA48" s="13" t="s">
        <v>88</v>
      </c>
    </row>
    <row r="49" customFormat="false" ht="15" hidden="false" customHeight="false" outlineLevel="0" collapsed="false">
      <c r="A49" s="13" t="s">
        <v>500</v>
      </c>
      <c r="B49" s="13" t="s">
        <v>555</v>
      </c>
      <c r="C49" s="13" t="s">
        <v>350</v>
      </c>
      <c r="D49" s="14" t="s">
        <v>556</v>
      </c>
      <c r="E49" s="14" t="n">
        <v>16000</v>
      </c>
      <c r="F49" s="14" t="n">
        <v>3200</v>
      </c>
      <c r="G49" s="14" t="n">
        <v>92</v>
      </c>
      <c r="H49" s="14" t="n">
        <v>11</v>
      </c>
      <c r="I49" s="14"/>
      <c r="J49" s="18" t="n">
        <f aca="false">IF(AND(ISNUMBER(E49),E49&gt;0),(N(G49)-N(H49))*12/E49,"")</f>
        <v>0.06075</v>
      </c>
      <c r="K49" s="14"/>
      <c r="L49" s="18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6" t="s">
        <v>557</v>
      </c>
      <c r="X49" s="16" t="s">
        <v>558</v>
      </c>
      <c r="Y49" s="13" t="s">
        <v>377</v>
      </c>
      <c r="Z49" s="14"/>
      <c r="AA49" s="13" t="s">
        <v>313</v>
      </c>
    </row>
    <row r="50" customFormat="false" ht="29.85" hidden="false" customHeight="false" outlineLevel="0" collapsed="false">
      <c r="A50" s="13" t="s">
        <v>500</v>
      </c>
      <c r="B50" s="13" t="s">
        <v>559</v>
      </c>
      <c r="C50" s="13" t="s">
        <v>350</v>
      </c>
      <c r="D50" s="14" t="s">
        <v>560</v>
      </c>
      <c r="E50" s="14" t="n">
        <v>8500</v>
      </c>
      <c r="F50" s="14" t="n">
        <v>1700</v>
      </c>
      <c r="G50" s="14" t="n">
        <v>58</v>
      </c>
      <c r="H50" s="14" t="n">
        <v>7</v>
      </c>
      <c r="I50" s="14"/>
      <c r="J50" s="18" t="n">
        <f aca="false">IF(AND(ISNUMBER(E50),E50&gt;0),(N(G50)-N(H50))*12/E50,"")</f>
        <v>0.072</v>
      </c>
      <c r="K50" s="14"/>
      <c r="L50" s="18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6" t="s">
        <v>561</v>
      </c>
      <c r="X50" s="16" t="s">
        <v>562</v>
      </c>
      <c r="Y50" s="13" t="s">
        <v>356</v>
      </c>
      <c r="Z50" s="14"/>
      <c r="AA50" s="13" t="s">
        <v>313</v>
      </c>
    </row>
    <row r="51" customFormat="false" ht="29.85" hidden="false" customHeight="false" outlineLevel="0" collapsed="false">
      <c r="A51" s="13" t="s">
        <v>500</v>
      </c>
      <c r="B51" s="13" t="s">
        <v>563</v>
      </c>
      <c r="C51" s="13" t="s">
        <v>363</v>
      </c>
      <c r="D51" s="14" t="s">
        <v>564</v>
      </c>
      <c r="E51" s="14" t="n">
        <v>4200</v>
      </c>
      <c r="F51" s="14"/>
      <c r="G51" s="14"/>
      <c r="H51" s="14"/>
      <c r="I51" s="14" t="n">
        <v>112</v>
      </c>
      <c r="J51" s="18" t="n">
        <f aca="false">IF(AND(ISNUMBER(E51),E51&gt;0,ISNUMBER(I51)),I51*12/E51,"")</f>
        <v>0.32</v>
      </c>
      <c r="K51" s="14"/>
      <c r="L51" s="18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6" t="s">
        <v>565</v>
      </c>
      <c r="X51" s="16" t="s">
        <v>566</v>
      </c>
      <c r="Y51" s="13" t="s">
        <v>367</v>
      </c>
      <c r="Z51" s="14"/>
      <c r="AA51" s="13" t="s">
        <v>313</v>
      </c>
    </row>
    <row r="52" customFormat="false" ht="29.85" hidden="false" customHeight="false" outlineLevel="0" collapsed="false">
      <c r="A52" s="13" t="s">
        <v>500</v>
      </c>
      <c r="B52" s="13" t="s">
        <v>567</v>
      </c>
      <c r="C52" s="13" t="s">
        <v>363</v>
      </c>
      <c r="D52" s="14" t="s">
        <v>568</v>
      </c>
      <c r="E52" s="14" t="n">
        <v>2600</v>
      </c>
      <c r="F52" s="14"/>
      <c r="G52" s="14"/>
      <c r="H52" s="14"/>
      <c r="I52" s="14" t="n">
        <v>58</v>
      </c>
      <c r="J52" s="18" t="n">
        <f aca="false">IF(AND(ISNUMBER(E52),E52&gt;0,ISNUMBER(I52)),I52*12/E52,"")</f>
        <v>0.267692307692308</v>
      </c>
      <c r="K52" s="14"/>
      <c r="L52" s="18"/>
      <c r="M52" s="14"/>
      <c r="N52" s="14"/>
      <c r="O52" s="14"/>
      <c r="P52" s="14"/>
      <c r="Q52" s="14" t="s">
        <v>352</v>
      </c>
      <c r="R52" s="14"/>
      <c r="S52" s="14"/>
      <c r="T52" s="14"/>
      <c r="U52" s="14"/>
      <c r="V52" s="14"/>
      <c r="W52" s="16" t="s">
        <v>569</v>
      </c>
      <c r="X52" s="16" t="s">
        <v>570</v>
      </c>
      <c r="Y52" s="13" t="s">
        <v>367</v>
      </c>
      <c r="Z52" s="14"/>
      <c r="AA52" s="13" t="s">
        <v>313</v>
      </c>
    </row>
    <row r="53" customFormat="false" ht="29.85" hidden="false" customHeight="false" outlineLevel="0" collapsed="false">
      <c r="A53" s="13" t="s">
        <v>500</v>
      </c>
      <c r="B53" s="13" t="s">
        <v>571</v>
      </c>
      <c r="C53" s="13" t="s">
        <v>363</v>
      </c>
      <c r="D53" s="14" t="s">
        <v>572</v>
      </c>
      <c r="E53" s="14" t="n">
        <v>5200</v>
      </c>
      <c r="F53" s="14"/>
      <c r="G53" s="14"/>
      <c r="H53" s="14"/>
      <c r="I53" s="14" t="n">
        <v>145</v>
      </c>
      <c r="J53" s="18" t="n">
        <f aca="false">IF(AND(ISNUMBER(E53),E53&gt;0,ISNUMBER(I53)),I53*12/E53,"")</f>
        <v>0.334615384615385</v>
      </c>
      <c r="K53" s="14"/>
      <c r="L53" s="18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6" t="s">
        <v>573</v>
      </c>
      <c r="X53" s="16" t="s">
        <v>574</v>
      </c>
      <c r="Y53" s="13" t="s">
        <v>367</v>
      </c>
      <c r="Z53" s="14"/>
      <c r="AA53" s="13" t="s">
        <v>313</v>
      </c>
    </row>
    <row r="54" customFormat="false" ht="15" hidden="false" customHeight="false" outlineLevel="0" collapsed="false">
      <c r="A54" s="13" t="s">
        <v>500</v>
      </c>
      <c r="B54" s="13" t="s">
        <v>575</v>
      </c>
      <c r="C54" s="13" t="s">
        <v>363</v>
      </c>
      <c r="D54" s="14" t="s">
        <v>576</v>
      </c>
      <c r="E54" s="14" t="n">
        <v>3600</v>
      </c>
      <c r="F54" s="14"/>
      <c r="G54" s="14"/>
      <c r="H54" s="14"/>
      <c r="I54" s="14" t="n">
        <v>96</v>
      </c>
      <c r="J54" s="18" t="n">
        <f aca="false">IF(AND(ISNUMBER(E54),E54&gt;0,ISNUMBER(I54)),I54*12/E54,"")</f>
        <v>0.32</v>
      </c>
      <c r="K54" s="14"/>
      <c r="L54" s="18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 t="s">
        <v>577</v>
      </c>
      <c r="X54" s="16" t="s">
        <v>578</v>
      </c>
      <c r="Y54" s="13" t="s">
        <v>367</v>
      </c>
      <c r="Z54" s="14"/>
      <c r="AA54" s="13" t="s">
        <v>313</v>
      </c>
    </row>
    <row r="55" customFormat="false" ht="29.85" hidden="false" customHeight="false" outlineLevel="0" collapsed="false">
      <c r="A55" s="13" t="s">
        <v>500</v>
      </c>
      <c r="B55" s="13" t="s">
        <v>579</v>
      </c>
      <c r="C55" s="13" t="s">
        <v>350</v>
      </c>
      <c r="D55" s="14" t="s">
        <v>580</v>
      </c>
      <c r="E55" s="14" t="n">
        <v>3000</v>
      </c>
      <c r="F55" s="14" t="n">
        <v>600</v>
      </c>
      <c r="G55" s="14" t="n">
        <v>22</v>
      </c>
      <c r="H55" s="14" t="n">
        <v>4</v>
      </c>
      <c r="I55" s="14"/>
      <c r="J55" s="18" t="n">
        <f aca="false">IF(AND(ISNUMBER(E55),E55&gt;0),(N(G55)-N(H55))*12/E55,"")</f>
        <v>0.072</v>
      </c>
      <c r="K55" s="14"/>
      <c r="L55" s="18"/>
      <c r="M55" s="14"/>
      <c r="N55" s="14" t="n">
        <v>0.022</v>
      </c>
      <c r="O55" s="14" t="s">
        <v>352</v>
      </c>
      <c r="P55" s="13" t="s">
        <v>581</v>
      </c>
      <c r="Q55" s="14"/>
      <c r="R55" s="14"/>
      <c r="S55" s="14"/>
      <c r="T55" s="14" t="s">
        <v>352</v>
      </c>
      <c r="U55" s="14"/>
      <c r="V55" s="14"/>
      <c r="W55" s="16" t="s">
        <v>582</v>
      </c>
      <c r="X55" s="16" t="s">
        <v>583</v>
      </c>
      <c r="Y55" s="13" t="s">
        <v>584</v>
      </c>
      <c r="Z55" s="14"/>
      <c r="AA55" s="13" t="s">
        <v>313</v>
      </c>
    </row>
    <row r="56" customFormat="false" ht="29.85" hidden="false" customHeight="false" outlineLevel="0" collapsed="false">
      <c r="A56" s="13" t="s">
        <v>500</v>
      </c>
      <c r="B56" s="13" t="s">
        <v>585</v>
      </c>
      <c r="C56" s="13" t="s">
        <v>350</v>
      </c>
      <c r="D56" s="14" t="s">
        <v>586</v>
      </c>
      <c r="E56" s="14" t="n">
        <v>4000</v>
      </c>
      <c r="F56" s="14" t="n">
        <v>800</v>
      </c>
      <c r="G56" s="14" t="n">
        <v>29</v>
      </c>
      <c r="H56" s="14" t="n">
        <v>6</v>
      </c>
      <c r="I56" s="14"/>
      <c r="J56" s="18" t="n">
        <f aca="false">IF(AND(ISNUMBER(E56),E56&gt;0),(N(G56)-N(H56))*12/E56,"")</f>
        <v>0.069</v>
      </c>
      <c r="K56" s="14"/>
      <c r="L56" s="18"/>
      <c r="M56" s="14"/>
      <c r="N56" s="14" t="n">
        <v>0.022</v>
      </c>
      <c r="O56" s="14" t="s">
        <v>352</v>
      </c>
      <c r="P56" s="13" t="s">
        <v>587</v>
      </c>
      <c r="Q56" s="14"/>
      <c r="R56" s="14"/>
      <c r="S56" s="14"/>
      <c r="T56" s="14" t="s">
        <v>352</v>
      </c>
      <c r="U56" s="14"/>
      <c r="V56" s="14"/>
      <c r="W56" s="16" t="s">
        <v>588</v>
      </c>
      <c r="X56" s="16" t="s">
        <v>589</v>
      </c>
      <c r="Y56" s="13" t="s">
        <v>584</v>
      </c>
      <c r="Z56" s="14"/>
      <c r="AA56" s="13" t="s">
        <v>313</v>
      </c>
    </row>
    <row r="57" customFormat="false" ht="15" hidden="false" customHeight="false" outlineLevel="0" collapsed="false">
      <c r="A57" s="13" t="s">
        <v>500</v>
      </c>
      <c r="B57" s="13" t="s">
        <v>590</v>
      </c>
      <c r="C57" s="13" t="s">
        <v>350</v>
      </c>
      <c r="D57" s="14" t="s">
        <v>591</v>
      </c>
      <c r="E57" s="14" t="n">
        <v>5000</v>
      </c>
      <c r="F57" s="14" t="n">
        <v>1000</v>
      </c>
      <c r="G57" s="14" t="n">
        <v>37</v>
      </c>
      <c r="H57" s="14" t="n">
        <v>9</v>
      </c>
      <c r="I57" s="14"/>
      <c r="J57" s="18" t="n">
        <f aca="false">IF(AND(ISNUMBER(E57),E57&gt;0),(N(G57)-N(H57))*12/E57,"")</f>
        <v>0.0672</v>
      </c>
      <c r="K57" s="14"/>
      <c r="L57" s="18"/>
      <c r="M57" s="14"/>
      <c r="N57" s="14" t="n">
        <v>0.022</v>
      </c>
      <c r="O57" s="14" t="s">
        <v>352</v>
      </c>
      <c r="P57" s="13" t="s">
        <v>581</v>
      </c>
      <c r="Q57" s="14"/>
      <c r="R57" s="14"/>
      <c r="S57" s="14"/>
      <c r="T57" s="14" t="s">
        <v>352</v>
      </c>
      <c r="U57" s="14"/>
      <c r="V57" s="14"/>
      <c r="W57" s="16" t="s">
        <v>592</v>
      </c>
      <c r="X57" s="16" t="s">
        <v>593</v>
      </c>
      <c r="Y57" s="13" t="s">
        <v>584</v>
      </c>
      <c r="Z57" s="14"/>
      <c r="AA57" s="13" t="s">
        <v>313</v>
      </c>
    </row>
    <row r="58" customFormat="false" ht="29.85" hidden="false" customHeight="false" outlineLevel="0" collapsed="false">
      <c r="A58" s="13" t="s">
        <v>500</v>
      </c>
      <c r="B58" s="13" t="s">
        <v>594</v>
      </c>
      <c r="C58" s="13" t="s">
        <v>350</v>
      </c>
      <c r="D58" s="14" t="s">
        <v>595</v>
      </c>
      <c r="E58" s="14" t="n">
        <v>6000</v>
      </c>
      <c r="F58" s="14" t="n">
        <v>1200</v>
      </c>
      <c r="G58" s="14" t="n">
        <v>45</v>
      </c>
      <c r="H58" s="14" t="n">
        <v>10</v>
      </c>
      <c r="I58" s="14"/>
      <c r="J58" s="18" t="n">
        <f aca="false">IF(AND(ISNUMBER(E58),E58&gt;0),(N(G58)-N(H58))*12/E58,"")</f>
        <v>0.07</v>
      </c>
      <c r="K58" s="14"/>
      <c r="L58" s="18"/>
      <c r="M58" s="14"/>
      <c r="N58" s="14" t="n">
        <v>0.024</v>
      </c>
      <c r="O58" s="14" t="s">
        <v>352</v>
      </c>
      <c r="P58" s="13" t="s">
        <v>587</v>
      </c>
      <c r="Q58" s="14"/>
      <c r="R58" s="14"/>
      <c r="S58" s="14"/>
      <c r="T58" s="14" t="s">
        <v>352</v>
      </c>
      <c r="U58" s="14"/>
      <c r="V58" s="14"/>
      <c r="W58" s="16" t="s">
        <v>596</v>
      </c>
      <c r="X58" s="16" t="s">
        <v>597</v>
      </c>
      <c r="Y58" s="13" t="s">
        <v>584</v>
      </c>
      <c r="Z58" s="14"/>
      <c r="AA58" s="13" t="s">
        <v>313</v>
      </c>
    </row>
    <row r="59" customFormat="false" ht="15" hidden="false" customHeight="false" outlineLevel="0" collapsed="false">
      <c r="A59" s="13" t="s">
        <v>500</v>
      </c>
      <c r="B59" s="13" t="s">
        <v>598</v>
      </c>
      <c r="C59" s="13" t="s">
        <v>363</v>
      </c>
      <c r="D59" s="14" t="s">
        <v>599</v>
      </c>
      <c r="E59" s="14" t="n">
        <v>700</v>
      </c>
      <c r="F59" s="14"/>
      <c r="G59" s="14"/>
      <c r="H59" s="14"/>
      <c r="I59" s="14" t="n">
        <v>22</v>
      </c>
      <c r="J59" s="18" t="n">
        <f aca="false">IF(AND(ISNUMBER(E59),E59&gt;0,ISNUMBER(I59)),I59*12/E59,"")</f>
        <v>0.377142857142857</v>
      </c>
      <c r="K59" s="14"/>
      <c r="L59" s="18"/>
      <c r="M59" s="14"/>
      <c r="N59" s="14"/>
      <c r="O59" s="14"/>
      <c r="P59" s="14"/>
      <c r="Q59" s="14" t="s">
        <v>352</v>
      </c>
      <c r="R59" s="14"/>
      <c r="S59" s="14"/>
      <c r="T59" s="14" t="s">
        <v>352</v>
      </c>
      <c r="U59" s="14"/>
      <c r="V59" s="14"/>
      <c r="W59" s="16" t="s">
        <v>600</v>
      </c>
      <c r="X59" s="16" t="s">
        <v>601</v>
      </c>
      <c r="Y59" s="13" t="s">
        <v>602</v>
      </c>
      <c r="Z59" s="14"/>
      <c r="AA59" s="13" t="s">
        <v>313</v>
      </c>
    </row>
    <row r="60" customFormat="false" ht="29.85" hidden="false" customHeight="false" outlineLevel="0" collapsed="false">
      <c r="A60" s="13" t="s">
        <v>500</v>
      </c>
      <c r="B60" s="13" t="s">
        <v>603</v>
      </c>
      <c r="C60" s="13" t="s">
        <v>363</v>
      </c>
      <c r="D60" s="14" t="s">
        <v>604</v>
      </c>
      <c r="E60" s="14" t="n">
        <v>900</v>
      </c>
      <c r="F60" s="14"/>
      <c r="G60" s="14"/>
      <c r="H60" s="14"/>
      <c r="I60" s="14" t="n">
        <v>27</v>
      </c>
      <c r="J60" s="18" t="n">
        <f aca="false">IF(AND(ISNUMBER(E60),E60&gt;0,ISNUMBER(I60)),I60*12/E60,"")</f>
        <v>0.36</v>
      </c>
      <c r="K60" s="14"/>
      <c r="L60" s="18"/>
      <c r="M60" s="14"/>
      <c r="N60" s="14"/>
      <c r="O60" s="14"/>
      <c r="P60" s="14"/>
      <c r="Q60" s="14" t="s">
        <v>396</v>
      </c>
      <c r="R60" s="14"/>
      <c r="S60" s="14"/>
      <c r="T60" s="14" t="s">
        <v>352</v>
      </c>
      <c r="U60" s="14"/>
      <c r="V60" s="14"/>
      <c r="W60" s="16" t="s">
        <v>605</v>
      </c>
      <c r="X60" s="16" t="s">
        <v>606</v>
      </c>
      <c r="Y60" s="13" t="s">
        <v>602</v>
      </c>
      <c r="Z60" s="14"/>
      <c r="AA60" s="13" t="s">
        <v>313</v>
      </c>
    </row>
    <row r="61" customFormat="false" ht="29.85" hidden="false" customHeight="false" outlineLevel="0" collapsed="false">
      <c r="A61" s="13" t="s">
        <v>500</v>
      </c>
      <c r="B61" s="13" t="s">
        <v>607</v>
      </c>
      <c r="C61" s="13" t="s">
        <v>363</v>
      </c>
      <c r="D61" s="14" t="s">
        <v>608</v>
      </c>
      <c r="E61" s="14" t="n">
        <v>1100</v>
      </c>
      <c r="F61" s="14"/>
      <c r="G61" s="14"/>
      <c r="H61" s="14"/>
      <c r="I61" s="14" t="n">
        <v>32</v>
      </c>
      <c r="J61" s="18" t="n">
        <f aca="false">IF(AND(ISNUMBER(E61),E61&gt;0,ISNUMBER(I61)),I61*12/E61,"")</f>
        <v>0.349090909090909</v>
      </c>
      <c r="K61" s="14"/>
      <c r="L61" s="18"/>
      <c r="M61" s="14"/>
      <c r="N61" s="14"/>
      <c r="O61" s="14"/>
      <c r="P61" s="14"/>
      <c r="Q61" s="14" t="s">
        <v>396</v>
      </c>
      <c r="R61" s="14"/>
      <c r="S61" s="14"/>
      <c r="T61" s="14" t="s">
        <v>352</v>
      </c>
      <c r="U61" s="14"/>
      <c r="V61" s="14"/>
      <c r="W61" s="16" t="s">
        <v>609</v>
      </c>
      <c r="X61" s="16" t="s">
        <v>610</v>
      </c>
      <c r="Y61" s="13" t="s">
        <v>602</v>
      </c>
      <c r="Z61" s="14"/>
      <c r="AA61" s="13" t="s">
        <v>313</v>
      </c>
    </row>
    <row r="62" customFormat="false" ht="29.85" hidden="false" customHeight="false" outlineLevel="0" collapsed="false">
      <c r="A62" s="13" t="s">
        <v>500</v>
      </c>
      <c r="B62" s="13" t="s">
        <v>611</v>
      </c>
      <c r="C62" s="13" t="s">
        <v>363</v>
      </c>
      <c r="D62" s="14" t="s">
        <v>612</v>
      </c>
      <c r="E62" s="14" t="n">
        <v>1200</v>
      </c>
      <c r="F62" s="14"/>
      <c r="G62" s="14"/>
      <c r="H62" s="14"/>
      <c r="I62" s="14" t="n">
        <v>34</v>
      </c>
      <c r="J62" s="18" t="n">
        <f aca="false">IF(AND(ISNUMBER(E62),E62&gt;0,ISNUMBER(I62)),I62*12/E62,"")</f>
        <v>0.34</v>
      </c>
      <c r="K62" s="14"/>
      <c r="L62" s="18"/>
      <c r="M62" s="14"/>
      <c r="N62" s="14"/>
      <c r="O62" s="14"/>
      <c r="P62" s="14"/>
      <c r="Q62" s="14" t="s">
        <v>352</v>
      </c>
      <c r="R62" s="14"/>
      <c r="S62" s="14"/>
      <c r="T62" s="14" t="s">
        <v>352</v>
      </c>
      <c r="U62" s="14"/>
      <c r="V62" s="14"/>
      <c r="W62" s="16" t="s">
        <v>613</v>
      </c>
      <c r="X62" s="15" t="s">
        <v>614</v>
      </c>
      <c r="Y62" s="13" t="s">
        <v>602</v>
      </c>
      <c r="Z62" s="14"/>
      <c r="AA62" s="13" t="s">
        <v>313</v>
      </c>
    </row>
    <row r="63" customFormat="false" ht="29.85" hidden="false" customHeight="false" outlineLevel="0" collapsed="false">
      <c r="A63" s="13" t="s">
        <v>615</v>
      </c>
      <c r="B63" s="13" t="s">
        <v>616</v>
      </c>
      <c r="C63" s="13" t="s">
        <v>363</v>
      </c>
      <c r="D63" s="14" t="s">
        <v>617</v>
      </c>
      <c r="E63" s="14" t="n">
        <v>6000</v>
      </c>
      <c r="F63" s="14"/>
      <c r="G63" s="14"/>
      <c r="H63" s="14"/>
      <c r="I63" s="14" t="n">
        <v>204</v>
      </c>
      <c r="J63" s="18" t="n">
        <f aca="false">IF(AND(ISNUMBER(E63),E63&gt;0,ISNUMBER(I63)),I63*12/E63,"")</f>
        <v>0.408</v>
      </c>
      <c r="K63" s="14"/>
      <c r="L63" s="18"/>
      <c r="M63" s="14"/>
      <c r="N63" s="14"/>
      <c r="O63" s="14"/>
      <c r="P63" s="14"/>
      <c r="Q63" s="14" t="s">
        <v>352</v>
      </c>
      <c r="R63" s="14"/>
      <c r="S63" s="14"/>
      <c r="T63" s="14"/>
      <c r="U63" s="14"/>
      <c r="V63" s="14"/>
      <c r="W63" s="15" t="s">
        <v>618</v>
      </c>
      <c r="X63" s="16" t="s">
        <v>619</v>
      </c>
      <c r="Y63" s="14"/>
      <c r="Z63" s="14"/>
      <c r="AA63" s="13" t="s">
        <v>620</v>
      </c>
    </row>
    <row r="64" customFormat="false" ht="29.85" hidden="false" customHeight="false" outlineLevel="0" collapsed="false">
      <c r="A64" s="13" t="s">
        <v>615</v>
      </c>
      <c r="B64" s="13" t="s">
        <v>621</v>
      </c>
      <c r="C64" s="13" t="s">
        <v>350</v>
      </c>
      <c r="D64" s="14" t="s">
        <v>622</v>
      </c>
      <c r="E64" s="14" t="n">
        <v>24000</v>
      </c>
      <c r="F64" s="14" t="n">
        <v>4800</v>
      </c>
      <c r="G64" s="14" t="n">
        <v>170</v>
      </c>
      <c r="H64" s="14" t="n">
        <v>16</v>
      </c>
      <c r="I64" s="14"/>
      <c r="J64" s="18" t="n">
        <f aca="false">IF(AND(ISNUMBER(E64),E64&gt;0),(N(G64)-N(H64))*12/E64,"")</f>
        <v>0.077</v>
      </c>
      <c r="K64" s="14"/>
      <c r="L64" s="18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6" t="s">
        <v>623</v>
      </c>
      <c r="X64" s="16" t="s">
        <v>624</v>
      </c>
      <c r="Y64" s="14"/>
      <c r="Z64" s="14"/>
      <c r="AA64" s="13" t="s">
        <v>620</v>
      </c>
    </row>
    <row r="65" customFormat="false" ht="29.85" hidden="false" customHeight="false" outlineLevel="0" collapsed="false">
      <c r="A65" s="13" t="s">
        <v>615</v>
      </c>
      <c r="B65" s="13" t="s">
        <v>625</v>
      </c>
      <c r="C65" s="13" t="s">
        <v>412</v>
      </c>
      <c r="D65" s="14" t="s">
        <v>626</v>
      </c>
      <c r="E65" s="14"/>
      <c r="F65" s="14"/>
      <c r="G65" s="14"/>
      <c r="H65" s="14"/>
      <c r="I65" s="14"/>
      <c r="J65" s="18"/>
      <c r="K65" s="14" t="n">
        <v>2000</v>
      </c>
      <c r="L65" s="18" t="n">
        <v>0.12</v>
      </c>
      <c r="M65" s="14" t="n">
        <v>16000</v>
      </c>
      <c r="N65" s="14"/>
      <c r="O65" s="14"/>
      <c r="P65" s="14"/>
      <c r="Q65" s="14"/>
      <c r="R65" s="14"/>
      <c r="S65" s="14"/>
      <c r="T65" s="14"/>
      <c r="U65" s="14"/>
      <c r="V65" s="14"/>
      <c r="W65" s="16" t="s">
        <v>627</v>
      </c>
      <c r="X65" s="16" t="s">
        <v>628</v>
      </c>
      <c r="Y65" s="14"/>
      <c r="Z65" s="14"/>
      <c r="AA65" s="13" t="s">
        <v>620</v>
      </c>
    </row>
    <row r="66" customFormat="false" ht="29.85" hidden="false" customHeight="false" outlineLevel="0" collapsed="false">
      <c r="A66" s="13" t="s">
        <v>615</v>
      </c>
      <c r="B66" s="13" t="s">
        <v>629</v>
      </c>
      <c r="C66" s="13" t="s">
        <v>363</v>
      </c>
      <c r="D66" s="14" t="s">
        <v>630</v>
      </c>
      <c r="E66" s="14" t="n">
        <v>7500</v>
      </c>
      <c r="F66" s="14"/>
      <c r="G66" s="14"/>
      <c r="H66" s="14"/>
      <c r="I66" s="14" t="n">
        <v>264</v>
      </c>
      <c r="J66" s="18" t="n">
        <f aca="false">IF(AND(ISNUMBER(E66),E66&gt;0,ISNUMBER(I66)),I66*12/E66,"")</f>
        <v>0.4224</v>
      </c>
      <c r="K66" s="14"/>
      <c r="L66" s="18"/>
      <c r="M66" s="14"/>
      <c r="N66" s="14"/>
      <c r="O66" s="14"/>
      <c r="P66" s="14"/>
      <c r="Q66" s="14" t="s">
        <v>352</v>
      </c>
      <c r="R66" s="14"/>
      <c r="S66" s="14"/>
      <c r="T66" s="14"/>
      <c r="U66" s="14"/>
      <c r="V66" s="14"/>
      <c r="W66" s="16" t="s">
        <v>631</v>
      </c>
      <c r="X66" s="16" t="s">
        <v>632</v>
      </c>
      <c r="Y66" s="14"/>
      <c r="Z66" s="14"/>
      <c r="AA66" s="13" t="s">
        <v>620</v>
      </c>
    </row>
    <row r="67" customFormat="false" ht="29.85" hidden="false" customHeight="false" outlineLevel="0" collapsed="false">
      <c r="A67" s="13" t="s">
        <v>615</v>
      </c>
      <c r="B67" s="13" t="s">
        <v>633</v>
      </c>
      <c r="C67" s="13" t="s">
        <v>350</v>
      </c>
      <c r="D67" s="14" t="s">
        <v>634</v>
      </c>
      <c r="E67" s="14" t="n">
        <v>20000</v>
      </c>
      <c r="F67" s="14" t="n">
        <v>4000</v>
      </c>
      <c r="G67" s="14" t="n">
        <v>146</v>
      </c>
      <c r="H67" s="14" t="n">
        <v>12</v>
      </c>
      <c r="I67" s="14"/>
      <c r="J67" s="18" t="n">
        <f aca="false">IF(AND(ISNUMBER(E67),E67&gt;0),(N(G67)-N(H67))*12/E67,"")</f>
        <v>0.0804</v>
      </c>
      <c r="K67" s="14"/>
      <c r="L67" s="1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6" t="s">
        <v>635</v>
      </c>
      <c r="X67" s="16" t="s">
        <v>636</v>
      </c>
      <c r="Y67" s="14"/>
      <c r="Z67" s="14"/>
      <c r="AA67" s="13" t="s">
        <v>620</v>
      </c>
    </row>
    <row r="68" customFormat="false" ht="29.85" hidden="false" customHeight="false" outlineLevel="0" collapsed="false">
      <c r="A68" s="13" t="s">
        <v>615</v>
      </c>
      <c r="B68" s="13" t="s">
        <v>637</v>
      </c>
      <c r="C68" s="13" t="s">
        <v>363</v>
      </c>
      <c r="D68" s="14" t="s">
        <v>638</v>
      </c>
      <c r="E68" s="14" t="n">
        <v>800</v>
      </c>
      <c r="F68" s="14"/>
      <c r="G68" s="14"/>
      <c r="H68" s="14"/>
      <c r="I68" s="14" t="n">
        <v>27</v>
      </c>
      <c r="J68" s="18" t="n">
        <f aca="false">IF(AND(ISNUMBER(E68),E68&gt;0,ISNUMBER(I68)),I68*12/E68,"")</f>
        <v>0.405</v>
      </c>
      <c r="K68" s="14"/>
      <c r="L68" s="18"/>
      <c r="M68" s="14"/>
      <c r="N68" s="14"/>
      <c r="O68" s="14"/>
      <c r="P68" s="14"/>
      <c r="Q68" s="14" t="s">
        <v>352</v>
      </c>
      <c r="R68" s="14"/>
      <c r="S68" s="14"/>
      <c r="T68" s="14" t="s">
        <v>352</v>
      </c>
      <c r="U68" s="14"/>
      <c r="V68" s="14"/>
      <c r="W68" s="15" t="s">
        <v>639</v>
      </c>
      <c r="X68" s="16" t="s">
        <v>640</v>
      </c>
      <c r="Y68" s="14"/>
      <c r="Z68" s="14"/>
      <c r="AA68" s="13" t="s">
        <v>620</v>
      </c>
    </row>
    <row r="69" customFormat="false" ht="29.85" hidden="false" customHeight="false" outlineLevel="0" collapsed="false">
      <c r="A69" s="13" t="s">
        <v>615</v>
      </c>
      <c r="B69" s="13" t="s">
        <v>641</v>
      </c>
      <c r="C69" s="13" t="s">
        <v>363</v>
      </c>
      <c r="D69" s="14" t="s">
        <v>642</v>
      </c>
      <c r="E69" s="14" t="n">
        <v>1200</v>
      </c>
      <c r="F69" s="14"/>
      <c r="G69" s="14"/>
      <c r="H69" s="14"/>
      <c r="I69" s="14" t="n">
        <v>39</v>
      </c>
      <c r="J69" s="18" t="n">
        <f aca="false">IF(AND(ISNUMBER(E69),E69&gt;0,ISNUMBER(I69)),I69*12/E69,"")</f>
        <v>0.39</v>
      </c>
      <c r="K69" s="14"/>
      <c r="L69" s="18"/>
      <c r="M69" s="14"/>
      <c r="N69" s="14"/>
      <c r="O69" s="14"/>
      <c r="P69" s="14"/>
      <c r="Q69" s="14" t="s">
        <v>396</v>
      </c>
      <c r="R69" s="14"/>
      <c r="S69" s="14"/>
      <c r="T69" s="14" t="s">
        <v>352</v>
      </c>
      <c r="U69" s="14"/>
      <c r="V69" s="14"/>
      <c r="W69" s="16" t="s">
        <v>643</v>
      </c>
      <c r="X69" s="16" t="s">
        <v>644</v>
      </c>
      <c r="Y69" s="14"/>
      <c r="Z69" s="14"/>
      <c r="AA69" s="13" t="s">
        <v>620</v>
      </c>
    </row>
    <row r="70" customFormat="false" ht="29.85" hidden="false" customHeight="false" outlineLevel="0" collapsed="false">
      <c r="A70" s="13" t="s">
        <v>615</v>
      </c>
      <c r="B70" s="13" t="s">
        <v>645</v>
      </c>
      <c r="C70" s="13" t="s">
        <v>363</v>
      </c>
      <c r="D70" s="14" t="s">
        <v>646</v>
      </c>
      <c r="E70" s="14" t="n">
        <v>1600</v>
      </c>
      <c r="F70" s="14"/>
      <c r="G70" s="14"/>
      <c r="H70" s="14"/>
      <c r="I70" s="14" t="n">
        <v>55</v>
      </c>
      <c r="J70" s="18" t="n">
        <f aca="false">IF(AND(ISNUMBER(E70),E70&gt;0,ISNUMBER(I70)),I70*12/E70,"")</f>
        <v>0.4125</v>
      </c>
      <c r="K70" s="14"/>
      <c r="L70" s="18"/>
      <c r="M70" s="14"/>
      <c r="N70" s="14"/>
      <c r="O70" s="14"/>
      <c r="P70" s="14"/>
      <c r="Q70" s="14" t="s">
        <v>352</v>
      </c>
      <c r="R70" s="14"/>
      <c r="S70" s="14"/>
      <c r="T70" s="14" t="s">
        <v>352</v>
      </c>
      <c r="U70" s="14"/>
      <c r="V70" s="14"/>
      <c r="W70" s="16" t="s">
        <v>647</v>
      </c>
      <c r="X70" s="16" t="s">
        <v>648</v>
      </c>
      <c r="Y70" s="14"/>
      <c r="Z70" s="14"/>
      <c r="AA70" s="13" t="s">
        <v>620</v>
      </c>
    </row>
  </sheetData>
  <autoFilter ref="A4:AA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9" min="7" style="0" width="40"/>
    <col collapsed="false" customWidth="true" hidden="false" outlineLevel="0" max="10" min="10" style="0" width="60"/>
    <col collapsed="false" customWidth="true" hidden="false" outlineLevel="0" max="11" min="11" style="0" width="50"/>
    <col collapsed="false" customWidth="true" hidden="false" outlineLevel="0" max="13" min="12" style="0" width="7"/>
    <col collapsed="false" customWidth="true" hidden="false" outlineLevel="0" max="14" min="14" style="0" width="6"/>
    <col collapsed="false" customWidth="true" hidden="false" outlineLevel="0" max="15" min="15" style="0" width="14"/>
    <col collapsed="false" customWidth="true" hidden="false" outlineLevel="0" max="17" min="16" style="0" width="8"/>
    <col collapsed="false" customWidth="true" hidden="false" outlineLevel="0" max="18" min="18" style="0" width="18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6"/>
    <col collapsed="false" customWidth="true" hidden="false" outlineLevel="0" max="25" min="25" style="0" width="8"/>
    <col collapsed="false" customWidth="true" hidden="false" outlineLevel="0" max="26" min="26" style="0" width="10"/>
  </cols>
  <sheetData>
    <row r="1" customFormat="false" ht="19.4" hidden="false" customHeight="false" outlineLevel="0" collapsed="false">
      <c r="A1" s="9" t="s">
        <v>649</v>
      </c>
    </row>
    <row r="2" customFormat="false" ht="15" hidden="false" customHeight="false" outlineLevel="0" collapsed="false">
      <c r="A2" s="10" t="s">
        <v>650</v>
      </c>
    </row>
    <row r="4" customFormat="false" ht="30" hidden="false" customHeight="true" outlineLevel="0" collapsed="false">
      <c r="A4" s="12" t="s">
        <v>328</v>
      </c>
      <c r="B4" s="11" t="s">
        <v>70</v>
      </c>
      <c r="C4" s="12" t="s">
        <v>329</v>
      </c>
      <c r="D4" s="12" t="s">
        <v>651</v>
      </c>
      <c r="E4" s="12" t="s">
        <v>276</v>
      </c>
      <c r="F4" s="12" t="s">
        <v>652</v>
      </c>
      <c r="G4" s="12" t="s">
        <v>196</v>
      </c>
      <c r="H4" s="12" t="s">
        <v>280</v>
      </c>
      <c r="I4" s="12" t="s">
        <v>653</v>
      </c>
      <c r="J4" s="12" t="s">
        <v>654</v>
      </c>
      <c r="K4" s="12" t="s">
        <v>655</v>
      </c>
      <c r="L4" s="12" t="s">
        <v>656</v>
      </c>
      <c r="M4" s="12" t="s">
        <v>657</v>
      </c>
      <c r="N4" s="12" t="s">
        <v>658</v>
      </c>
      <c r="O4" s="12" t="s">
        <v>659</v>
      </c>
      <c r="P4" s="12" t="s">
        <v>660</v>
      </c>
      <c r="Q4" s="12" t="s">
        <v>661</v>
      </c>
      <c r="R4" s="12" t="s">
        <v>662</v>
      </c>
      <c r="S4" s="12" t="s">
        <v>663</v>
      </c>
      <c r="T4" s="12" t="s">
        <v>664</v>
      </c>
      <c r="U4" s="12" t="s">
        <v>665</v>
      </c>
      <c r="V4" s="12" t="s">
        <v>346</v>
      </c>
      <c r="W4" s="12" t="s">
        <v>347</v>
      </c>
      <c r="X4" s="12" t="s">
        <v>198</v>
      </c>
      <c r="Y4" s="12" t="s">
        <v>281</v>
      </c>
      <c r="Z4" s="12" t="s">
        <v>83</v>
      </c>
    </row>
    <row r="5" customFormat="false" ht="29.85" hidden="false" customHeight="false" outlineLevel="0" collapsed="false">
      <c r="A5" s="13" t="s">
        <v>666</v>
      </c>
      <c r="B5" s="13" t="s">
        <v>667</v>
      </c>
      <c r="C5" s="13" t="s">
        <v>666</v>
      </c>
      <c r="D5" s="14"/>
      <c r="E5" s="14" t="s">
        <v>668</v>
      </c>
      <c r="F5" s="14"/>
      <c r="G5" s="16" t="s">
        <v>669</v>
      </c>
      <c r="H5" s="16" t="s">
        <v>670</v>
      </c>
      <c r="I5" s="16" t="s">
        <v>671</v>
      </c>
      <c r="J5" s="16"/>
      <c r="K5" s="16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3" t="s">
        <v>672</v>
      </c>
      <c r="Y5" s="14"/>
      <c r="Z5" s="13" t="s">
        <v>88</v>
      </c>
    </row>
    <row r="6" customFormat="false" ht="29.85" hidden="false" customHeight="false" outlineLevel="0" collapsed="false">
      <c r="A6" s="13" t="s">
        <v>666</v>
      </c>
      <c r="B6" s="13" t="s">
        <v>673</v>
      </c>
      <c r="C6" s="13" t="s">
        <v>666</v>
      </c>
      <c r="D6" s="14"/>
      <c r="E6" s="14" t="s">
        <v>674</v>
      </c>
      <c r="F6" s="14"/>
      <c r="G6" s="16" t="s">
        <v>675</v>
      </c>
      <c r="H6" s="16" t="s">
        <v>676</v>
      </c>
      <c r="I6" s="16" t="s">
        <v>677</v>
      </c>
      <c r="J6" s="16"/>
      <c r="K6" s="16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3" t="s">
        <v>678</v>
      </c>
      <c r="Y6" s="14"/>
      <c r="Z6" s="13" t="s">
        <v>88</v>
      </c>
    </row>
    <row r="7" customFormat="false" ht="15" hidden="false" customHeight="false" outlineLevel="0" collapsed="false">
      <c r="A7" s="13" t="s">
        <v>666</v>
      </c>
      <c r="B7" s="13" t="s">
        <v>679</v>
      </c>
      <c r="C7" s="13" t="s">
        <v>666</v>
      </c>
      <c r="D7" s="14"/>
      <c r="E7" s="14" t="s">
        <v>680</v>
      </c>
      <c r="F7" s="14"/>
      <c r="G7" s="16" t="s">
        <v>681</v>
      </c>
      <c r="H7" s="16" t="s">
        <v>682</v>
      </c>
      <c r="I7" s="16" t="s">
        <v>683</v>
      </c>
      <c r="J7" s="16"/>
      <c r="K7" s="16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3" t="s">
        <v>684</v>
      </c>
      <c r="Y7" s="14"/>
      <c r="Z7" s="13" t="s">
        <v>88</v>
      </c>
    </row>
    <row r="8" customFormat="false" ht="29.85" hidden="false" customHeight="false" outlineLevel="0" collapsed="false">
      <c r="A8" s="13" t="s">
        <v>666</v>
      </c>
      <c r="B8" s="13" t="s">
        <v>685</v>
      </c>
      <c r="C8" s="13" t="s">
        <v>666</v>
      </c>
      <c r="D8" s="14"/>
      <c r="E8" s="14" t="s">
        <v>686</v>
      </c>
      <c r="F8" s="14"/>
      <c r="G8" s="16" t="s">
        <v>687</v>
      </c>
      <c r="H8" s="16" t="s">
        <v>688</v>
      </c>
      <c r="I8" s="16" t="s">
        <v>689</v>
      </c>
      <c r="J8" s="16"/>
      <c r="K8" s="16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3" t="s">
        <v>690</v>
      </c>
      <c r="Y8" s="14"/>
      <c r="Z8" s="13" t="s">
        <v>88</v>
      </c>
    </row>
    <row r="9" customFormat="false" ht="15" hidden="false" customHeight="false" outlineLevel="0" collapsed="false">
      <c r="A9" s="13" t="s">
        <v>666</v>
      </c>
      <c r="B9" s="13" t="s">
        <v>691</v>
      </c>
      <c r="C9" s="13" t="s">
        <v>666</v>
      </c>
      <c r="D9" s="14"/>
      <c r="E9" s="14" t="s">
        <v>692</v>
      </c>
      <c r="F9" s="14"/>
      <c r="G9" s="16" t="s">
        <v>693</v>
      </c>
      <c r="H9" s="16" t="s">
        <v>694</v>
      </c>
      <c r="I9" s="16" t="s">
        <v>671</v>
      </c>
      <c r="J9" s="16"/>
      <c r="K9" s="16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3" t="s">
        <v>672</v>
      </c>
      <c r="Y9" s="14"/>
      <c r="Z9" s="13" t="s">
        <v>88</v>
      </c>
    </row>
    <row r="10" customFormat="false" ht="29.85" hidden="false" customHeight="false" outlineLevel="0" collapsed="false">
      <c r="A10" s="13" t="s">
        <v>666</v>
      </c>
      <c r="B10" s="13" t="s">
        <v>695</v>
      </c>
      <c r="C10" s="13" t="s">
        <v>666</v>
      </c>
      <c r="D10" s="14"/>
      <c r="E10" s="14" t="s">
        <v>696</v>
      </c>
      <c r="F10" s="14"/>
      <c r="G10" s="16" t="s">
        <v>697</v>
      </c>
      <c r="H10" s="16" t="s">
        <v>698</v>
      </c>
      <c r="I10" s="16" t="s">
        <v>699</v>
      </c>
      <c r="J10" s="16"/>
      <c r="K10" s="16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3" t="s">
        <v>678</v>
      </c>
      <c r="Y10" s="14"/>
      <c r="Z10" s="13" t="s">
        <v>88</v>
      </c>
    </row>
    <row r="11" customFormat="false" ht="15" hidden="false" customHeight="false" outlineLevel="0" collapsed="false">
      <c r="A11" s="13" t="s">
        <v>666</v>
      </c>
      <c r="B11" s="13" t="s">
        <v>700</v>
      </c>
      <c r="C11" s="13" t="s">
        <v>666</v>
      </c>
      <c r="D11" s="14"/>
      <c r="E11" s="14" t="s">
        <v>701</v>
      </c>
      <c r="F11" s="14"/>
      <c r="G11" s="16" t="s">
        <v>702</v>
      </c>
      <c r="H11" s="16" t="s">
        <v>703</v>
      </c>
      <c r="I11" s="16" t="s">
        <v>704</v>
      </c>
      <c r="J11" s="16"/>
      <c r="K11" s="16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3" t="s">
        <v>705</v>
      </c>
      <c r="Y11" s="14"/>
      <c r="Z11" s="13" t="s">
        <v>88</v>
      </c>
    </row>
    <row r="12" customFormat="false" ht="15" hidden="false" customHeight="false" outlineLevel="0" collapsed="false">
      <c r="A12" s="13" t="s">
        <v>666</v>
      </c>
      <c r="B12" s="13" t="s">
        <v>706</v>
      </c>
      <c r="C12" s="13" t="s">
        <v>666</v>
      </c>
      <c r="D12" s="14"/>
      <c r="E12" s="14" t="s">
        <v>707</v>
      </c>
      <c r="F12" s="14"/>
      <c r="G12" s="16" t="s">
        <v>708</v>
      </c>
      <c r="H12" s="16" t="s">
        <v>709</v>
      </c>
      <c r="I12" s="16" t="s">
        <v>671</v>
      </c>
      <c r="J12" s="16"/>
      <c r="K12" s="16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3" t="s">
        <v>672</v>
      </c>
      <c r="Y12" s="14"/>
      <c r="Z12" s="13" t="s">
        <v>88</v>
      </c>
    </row>
    <row r="13" customFormat="false" ht="44" hidden="false" customHeight="false" outlineLevel="0" collapsed="false">
      <c r="A13" s="13" t="s">
        <v>666</v>
      </c>
      <c r="B13" s="13" t="s">
        <v>710</v>
      </c>
      <c r="C13" s="13" t="s">
        <v>711</v>
      </c>
      <c r="D13" s="14"/>
      <c r="E13" s="14" t="s">
        <v>712</v>
      </c>
      <c r="F13" s="14"/>
      <c r="G13" s="16" t="s">
        <v>713</v>
      </c>
      <c r="H13" s="16" t="s">
        <v>714</v>
      </c>
      <c r="I13" s="16"/>
      <c r="J13" s="15" t="s">
        <v>715</v>
      </c>
      <c r="K13" s="16"/>
      <c r="L13" s="14"/>
      <c r="M13" s="14"/>
      <c r="N13" s="14"/>
      <c r="O13" s="14"/>
      <c r="P13" s="14" t="s">
        <v>352</v>
      </c>
      <c r="Q13" s="14"/>
      <c r="R13" s="14"/>
      <c r="S13" s="14"/>
      <c r="T13" s="14"/>
      <c r="U13" s="14"/>
      <c r="V13" s="14"/>
      <c r="W13" s="14"/>
      <c r="X13" s="14"/>
      <c r="Y13" s="14"/>
      <c r="Z13" s="13" t="s">
        <v>88</v>
      </c>
    </row>
    <row r="14" customFormat="false" ht="44" hidden="false" customHeight="false" outlineLevel="0" collapsed="false">
      <c r="A14" s="13" t="s">
        <v>666</v>
      </c>
      <c r="B14" s="13" t="s">
        <v>716</v>
      </c>
      <c r="C14" s="13" t="s">
        <v>711</v>
      </c>
      <c r="D14" s="14"/>
      <c r="E14" s="14" t="s">
        <v>717</v>
      </c>
      <c r="F14" s="14"/>
      <c r="G14" s="16" t="s">
        <v>718</v>
      </c>
      <c r="H14" s="16" t="s">
        <v>719</v>
      </c>
      <c r="I14" s="16"/>
      <c r="J14" s="15" t="s">
        <v>720</v>
      </c>
      <c r="K14" s="16"/>
      <c r="L14" s="14"/>
      <c r="M14" s="14"/>
      <c r="N14" s="14"/>
      <c r="O14" s="14"/>
      <c r="P14" s="14" t="s">
        <v>352</v>
      </c>
      <c r="Q14" s="14"/>
      <c r="R14" s="14"/>
      <c r="S14" s="14"/>
      <c r="T14" s="14"/>
      <c r="U14" s="14"/>
      <c r="V14" s="14"/>
      <c r="W14" s="14"/>
      <c r="X14" s="14"/>
      <c r="Y14" s="14"/>
      <c r="Z14" s="13" t="s">
        <v>88</v>
      </c>
    </row>
    <row r="15" customFormat="false" ht="44" hidden="false" customHeight="false" outlineLevel="0" collapsed="false">
      <c r="A15" s="13" t="s">
        <v>666</v>
      </c>
      <c r="B15" s="13" t="s">
        <v>721</v>
      </c>
      <c r="C15" s="13" t="s">
        <v>711</v>
      </c>
      <c r="D15" s="14"/>
      <c r="E15" s="14" t="s">
        <v>722</v>
      </c>
      <c r="F15" s="14"/>
      <c r="G15" s="16" t="s">
        <v>723</v>
      </c>
      <c r="H15" s="16" t="s">
        <v>724</v>
      </c>
      <c r="I15" s="16"/>
      <c r="J15" s="15" t="s">
        <v>725</v>
      </c>
      <c r="K15" s="16"/>
      <c r="L15" s="14"/>
      <c r="M15" s="14"/>
      <c r="N15" s="14"/>
      <c r="O15" s="14"/>
      <c r="P15" s="14" t="s">
        <v>352</v>
      </c>
      <c r="Q15" s="14"/>
      <c r="R15" s="14"/>
      <c r="S15" s="14"/>
      <c r="T15" s="14"/>
      <c r="U15" s="14"/>
      <c r="V15" s="14"/>
      <c r="W15" s="14"/>
      <c r="X15" s="14"/>
      <c r="Y15" s="14"/>
      <c r="Z15" s="13" t="s">
        <v>88</v>
      </c>
    </row>
    <row r="16" customFormat="false" ht="58.2" hidden="false" customHeight="false" outlineLevel="0" collapsed="false">
      <c r="A16" s="13" t="s">
        <v>666</v>
      </c>
      <c r="B16" s="13" t="s">
        <v>726</v>
      </c>
      <c r="C16" s="13" t="s">
        <v>711</v>
      </c>
      <c r="D16" s="14"/>
      <c r="E16" s="14" t="s">
        <v>727</v>
      </c>
      <c r="F16" s="14"/>
      <c r="G16" s="16" t="s">
        <v>728</v>
      </c>
      <c r="H16" s="16" t="s">
        <v>729</v>
      </c>
      <c r="I16" s="16"/>
      <c r="J16" s="15" t="s">
        <v>730</v>
      </c>
      <c r="K16" s="16"/>
      <c r="L16" s="14"/>
      <c r="M16" s="14"/>
      <c r="N16" s="14"/>
      <c r="O16" s="14"/>
      <c r="P16" s="14" t="s">
        <v>352</v>
      </c>
      <c r="Q16" s="14"/>
      <c r="R16" s="14"/>
      <c r="S16" s="14"/>
      <c r="T16" s="14"/>
      <c r="U16" s="14"/>
      <c r="V16" s="14"/>
      <c r="W16" s="14"/>
      <c r="X16" s="14"/>
      <c r="Y16" s="14"/>
      <c r="Z16" s="13" t="s">
        <v>88</v>
      </c>
    </row>
    <row r="17" customFormat="false" ht="58.2" hidden="false" customHeight="false" outlineLevel="0" collapsed="false">
      <c r="A17" s="13" t="s">
        <v>666</v>
      </c>
      <c r="B17" s="13" t="s">
        <v>731</v>
      </c>
      <c r="C17" s="13" t="s">
        <v>711</v>
      </c>
      <c r="D17" s="14"/>
      <c r="E17" s="14" t="s">
        <v>732</v>
      </c>
      <c r="F17" s="14"/>
      <c r="G17" s="16" t="s">
        <v>733</v>
      </c>
      <c r="H17" s="16" t="s">
        <v>734</v>
      </c>
      <c r="I17" s="16"/>
      <c r="J17" s="15" t="s">
        <v>735</v>
      </c>
      <c r="K17" s="16"/>
      <c r="L17" s="14"/>
      <c r="M17" s="14"/>
      <c r="N17" s="14"/>
      <c r="O17" s="14"/>
      <c r="P17" s="14" t="s">
        <v>352</v>
      </c>
      <c r="Q17" s="14"/>
      <c r="R17" s="14"/>
      <c r="S17" s="14"/>
      <c r="T17" s="14"/>
      <c r="U17" s="14"/>
      <c r="V17" s="14"/>
      <c r="W17" s="14"/>
      <c r="X17" s="14"/>
      <c r="Y17" s="14"/>
      <c r="Z17" s="13" t="s">
        <v>88</v>
      </c>
    </row>
    <row r="18" customFormat="false" ht="58.2" hidden="false" customHeight="false" outlineLevel="0" collapsed="false">
      <c r="A18" s="13" t="s">
        <v>666</v>
      </c>
      <c r="B18" s="13" t="s">
        <v>736</v>
      </c>
      <c r="C18" s="13" t="s">
        <v>711</v>
      </c>
      <c r="D18" s="14"/>
      <c r="E18" s="14" t="s">
        <v>737</v>
      </c>
      <c r="F18" s="14"/>
      <c r="G18" s="16" t="s">
        <v>738</v>
      </c>
      <c r="H18" s="16" t="s">
        <v>739</v>
      </c>
      <c r="I18" s="16"/>
      <c r="J18" s="15" t="s">
        <v>740</v>
      </c>
      <c r="K18" s="16"/>
      <c r="L18" s="14"/>
      <c r="M18" s="14"/>
      <c r="N18" s="14"/>
      <c r="O18" s="14"/>
      <c r="P18" s="14" t="s">
        <v>352</v>
      </c>
      <c r="Q18" s="14"/>
      <c r="R18" s="14"/>
      <c r="S18" s="14"/>
      <c r="T18" s="14"/>
      <c r="U18" s="14"/>
      <c r="V18" s="14"/>
      <c r="W18" s="14"/>
      <c r="X18" s="14"/>
      <c r="Y18" s="14"/>
      <c r="Z18" s="13" t="s">
        <v>88</v>
      </c>
    </row>
    <row r="19" customFormat="false" ht="58.2" hidden="false" customHeight="false" outlineLevel="0" collapsed="false">
      <c r="A19" s="13" t="s">
        <v>666</v>
      </c>
      <c r="B19" s="13" t="s">
        <v>741</v>
      </c>
      <c r="C19" s="13" t="s">
        <v>711</v>
      </c>
      <c r="D19" s="14"/>
      <c r="E19" s="14" t="s">
        <v>742</v>
      </c>
      <c r="F19" s="14"/>
      <c r="G19" s="16" t="s">
        <v>743</v>
      </c>
      <c r="H19" s="16" t="s">
        <v>744</v>
      </c>
      <c r="I19" s="16"/>
      <c r="J19" s="15" t="s">
        <v>745</v>
      </c>
      <c r="K19" s="16"/>
      <c r="L19" s="14"/>
      <c r="M19" s="14"/>
      <c r="N19" s="14"/>
      <c r="O19" s="14"/>
      <c r="P19" s="14" t="s">
        <v>352</v>
      </c>
      <c r="Q19" s="14"/>
      <c r="R19" s="14"/>
      <c r="S19" s="14"/>
      <c r="T19" s="14"/>
      <c r="U19" s="14"/>
      <c r="V19" s="14"/>
      <c r="W19" s="14"/>
      <c r="X19" s="14"/>
      <c r="Y19" s="14"/>
      <c r="Z19" s="13" t="s">
        <v>88</v>
      </c>
    </row>
    <row r="20" customFormat="false" ht="58.2" hidden="false" customHeight="false" outlineLevel="0" collapsed="false">
      <c r="A20" s="13" t="s">
        <v>666</v>
      </c>
      <c r="B20" s="13" t="s">
        <v>746</v>
      </c>
      <c r="C20" s="13" t="s">
        <v>711</v>
      </c>
      <c r="D20" s="14"/>
      <c r="E20" s="14" t="s">
        <v>747</v>
      </c>
      <c r="F20" s="14"/>
      <c r="G20" s="16" t="s">
        <v>748</v>
      </c>
      <c r="H20" s="16" t="s">
        <v>749</v>
      </c>
      <c r="I20" s="16"/>
      <c r="J20" s="15" t="s">
        <v>750</v>
      </c>
      <c r="K20" s="16"/>
      <c r="L20" s="14"/>
      <c r="M20" s="14"/>
      <c r="N20" s="14"/>
      <c r="O20" s="14"/>
      <c r="P20" s="14" t="s">
        <v>352</v>
      </c>
      <c r="Q20" s="14"/>
      <c r="R20" s="14"/>
      <c r="S20" s="14"/>
      <c r="T20" s="14"/>
      <c r="U20" s="14"/>
      <c r="V20" s="14"/>
      <c r="W20" s="14"/>
      <c r="X20" s="14"/>
      <c r="Y20" s="14"/>
      <c r="Z20" s="13" t="s">
        <v>88</v>
      </c>
    </row>
    <row r="21" customFormat="false" ht="58.2" hidden="false" customHeight="false" outlineLevel="0" collapsed="false">
      <c r="A21" s="13" t="s">
        <v>666</v>
      </c>
      <c r="B21" s="13" t="s">
        <v>751</v>
      </c>
      <c r="C21" s="13" t="s">
        <v>711</v>
      </c>
      <c r="D21" s="14"/>
      <c r="E21" s="14" t="s">
        <v>752</v>
      </c>
      <c r="F21" s="14"/>
      <c r="G21" s="16" t="s">
        <v>753</v>
      </c>
      <c r="H21" s="16" t="s">
        <v>754</v>
      </c>
      <c r="I21" s="16"/>
      <c r="J21" s="15" t="s">
        <v>755</v>
      </c>
      <c r="K21" s="16"/>
      <c r="L21" s="14"/>
      <c r="M21" s="14"/>
      <c r="N21" s="14"/>
      <c r="O21" s="14"/>
      <c r="P21" s="14" t="s">
        <v>352</v>
      </c>
      <c r="Q21" s="14"/>
      <c r="R21" s="14"/>
      <c r="S21" s="14"/>
      <c r="T21" s="14"/>
      <c r="U21" s="14"/>
      <c r="V21" s="14"/>
      <c r="W21" s="14"/>
      <c r="X21" s="14"/>
      <c r="Y21" s="14"/>
      <c r="Z21" s="13" t="s">
        <v>88</v>
      </c>
    </row>
    <row r="22" customFormat="false" ht="58.2" hidden="false" customHeight="false" outlineLevel="0" collapsed="false">
      <c r="A22" s="13" t="s">
        <v>666</v>
      </c>
      <c r="B22" s="13" t="s">
        <v>756</v>
      </c>
      <c r="C22" s="13" t="s">
        <v>711</v>
      </c>
      <c r="D22" s="14"/>
      <c r="E22" s="14" t="s">
        <v>757</v>
      </c>
      <c r="F22" s="14"/>
      <c r="G22" s="16" t="s">
        <v>758</v>
      </c>
      <c r="H22" s="16" t="s">
        <v>759</v>
      </c>
      <c r="I22" s="16"/>
      <c r="J22" s="15" t="s">
        <v>760</v>
      </c>
      <c r="K22" s="16"/>
      <c r="L22" s="14"/>
      <c r="M22" s="14"/>
      <c r="N22" s="14"/>
      <c r="O22" s="14"/>
      <c r="P22" s="14" t="s">
        <v>352</v>
      </c>
      <c r="Q22" s="14"/>
      <c r="R22" s="14"/>
      <c r="S22" s="14"/>
      <c r="T22" s="14"/>
      <c r="U22" s="14"/>
      <c r="V22" s="14"/>
      <c r="W22" s="14"/>
      <c r="X22" s="14"/>
      <c r="Y22" s="14"/>
      <c r="Z22" s="13" t="s">
        <v>88</v>
      </c>
    </row>
    <row r="23" customFormat="false" ht="58.2" hidden="false" customHeight="false" outlineLevel="0" collapsed="false">
      <c r="A23" s="13" t="s">
        <v>666</v>
      </c>
      <c r="B23" s="13" t="s">
        <v>761</v>
      </c>
      <c r="C23" s="13" t="s">
        <v>711</v>
      </c>
      <c r="D23" s="14"/>
      <c r="E23" s="14" t="s">
        <v>762</v>
      </c>
      <c r="F23" s="14"/>
      <c r="G23" s="16" t="s">
        <v>763</v>
      </c>
      <c r="H23" s="16" t="s">
        <v>764</v>
      </c>
      <c r="I23" s="16"/>
      <c r="J23" s="15" t="s">
        <v>765</v>
      </c>
      <c r="K23" s="16"/>
      <c r="L23" s="14"/>
      <c r="M23" s="14"/>
      <c r="N23" s="14"/>
      <c r="O23" s="14"/>
      <c r="P23" s="14" t="s">
        <v>352</v>
      </c>
      <c r="Q23" s="14"/>
      <c r="R23" s="14"/>
      <c r="S23" s="14"/>
      <c r="T23" s="14"/>
      <c r="U23" s="14"/>
      <c r="V23" s="14"/>
      <c r="W23" s="14"/>
      <c r="X23" s="14"/>
      <c r="Y23" s="14"/>
      <c r="Z23" s="13" t="s">
        <v>88</v>
      </c>
    </row>
    <row r="24" customFormat="false" ht="58.2" hidden="false" customHeight="false" outlineLevel="0" collapsed="false">
      <c r="A24" s="13" t="s">
        <v>666</v>
      </c>
      <c r="B24" s="13" t="s">
        <v>766</v>
      </c>
      <c r="C24" s="13" t="s">
        <v>711</v>
      </c>
      <c r="D24" s="14"/>
      <c r="E24" s="14" t="s">
        <v>767</v>
      </c>
      <c r="F24" s="14"/>
      <c r="G24" s="16" t="s">
        <v>768</v>
      </c>
      <c r="H24" s="16" t="s">
        <v>769</v>
      </c>
      <c r="I24" s="16"/>
      <c r="J24" s="15" t="s">
        <v>770</v>
      </c>
      <c r="K24" s="16"/>
      <c r="L24" s="14"/>
      <c r="M24" s="14"/>
      <c r="N24" s="14"/>
      <c r="O24" s="14"/>
      <c r="P24" s="14" t="s">
        <v>352</v>
      </c>
      <c r="Q24" s="14"/>
      <c r="R24" s="14"/>
      <c r="S24" s="14"/>
      <c r="T24" s="14"/>
      <c r="U24" s="14"/>
      <c r="V24" s="14"/>
      <c r="W24" s="14"/>
      <c r="X24" s="14"/>
      <c r="Y24" s="14"/>
      <c r="Z24" s="13" t="s">
        <v>88</v>
      </c>
    </row>
    <row r="25" customFormat="false" ht="58.2" hidden="false" customHeight="false" outlineLevel="0" collapsed="false">
      <c r="A25" s="13" t="s">
        <v>666</v>
      </c>
      <c r="B25" s="13" t="s">
        <v>771</v>
      </c>
      <c r="C25" s="13" t="s">
        <v>772</v>
      </c>
      <c r="D25" s="14"/>
      <c r="E25" s="14" t="s">
        <v>773</v>
      </c>
      <c r="F25" s="14"/>
      <c r="G25" s="16" t="s">
        <v>774</v>
      </c>
      <c r="H25" s="16" t="s">
        <v>775</v>
      </c>
      <c r="I25" s="16"/>
      <c r="J25" s="15" t="s">
        <v>776</v>
      </c>
      <c r="K25" s="16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3" t="s">
        <v>777</v>
      </c>
      <c r="Y25" s="13" t="s">
        <v>778</v>
      </c>
      <c r="Z25" s="13" t="s">
        <v>88</v>
      </c>
    </row>
    <row r="26" customFormat="false" ht="58.2" hidden="false" customHeight="false" outlineLevel="0" collapsed="false">
      <c r="A26" s="13" t="s">
        <v>666</v>
      </c>
      <c r="B26" s="13" t="s">
        <v>779</v>
      </c>
      <c r="C26" s="13" t="s">
        <v>772</v>
      </c>
      <c r="D26" s="14"/>
      <c r="E26" s="14" t="s">
        <v>780</v>
      </c>
      <c r="F26" s="14"/>
      <c r="G26" s="16" t="s">
        <v>781</v>
      </c>
      <c r="H26" s="16" t="s">
        <v>782</v>
      </c>
      <c r="I26" s="16"/>
      <c r="J26" s="15" t="s">
        <v>783</v>
      </c>
      <c r="K26" s="1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3" t="s">
        <v>777</v>
      </c>
      <c r="Y26" s="13" t="s">
        <v>778</v>
      </c>
      <c r="Z26" s="13" t="s">
        <v>88</v>
      </c>
    </row>
    <row r="27" customFormat="false" ht="29.85" hidden="false" customHeight="false" outlineLevel="0" collapsed="false">
      <c r="A27" s="13" t="s">
        <v>666</v>
      </c>
      <c r="B27" s="13" t="s">
        <v>784</v>
      </c>
      <c r="C27" s="13" t="s">
        <v>666</v>
      </c>
      <c r="D27" s="14"/>
      <c r="E27" s="14" t="s">
        <v>785</v>
      </c>
      <c r="F27" s="14"/>
      <c r="G27" s="16" t="s">
        <v>786</v>
      </c>
      <c r="H27" s="16" t="s">
        <v>787</v>
      </c>
      <c r="I27" s="16" t="s">
        <v>788</v>
      </c>
      <c r="J27" s="16"/>
      <c r="K27" s="16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3" t="s">
        <v>789</v>
      </c>
      <c r="Y27" s="14"/>
      <c r="Z27" s="13" t="s">
        <v>88</v>
      </c>
    </row>
    <row r="28" customFormat="false" ht="29.85" hidden="false" customHeight="false" outlineLevel="0" collapsed="false">
      <c r="A28" s="13" t="s">
        <v>666</v>
      </c>
      <c r="B28" s="13" t="s">
        <v>790</v>
      </c>
      <c r="C28" s="13" t="s">
        <v>666</v>
      </c>
      <c r="D28" s="14"/>
      <c r="E28" s="14" t="s">
        <v>791</v>
      </c>
      <c r="F28" s="14"/>
      <c r="G28" s="16" t="s">
        <v>792</v>
      </c>
      <c r="H28" s="16" t="s">
        <v>793</v>
      </c>
      <c r="I28" s="16" t="s">
        <v>794</v>
      </c>
      <c r="J28" s="16"/>
      <c r="K28" s="16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3" t="s">
        <v>777</v>
      </c>
      <c r="Y28" s="14"/>
      <c r="Z28" s="13" t="s">
        <v>88</v>
      </c>
    </row>
    <row r="29" customFormat="false" ht="29.85" hidden="false" customHeight="false" outlineLevel="0" collapsed="false">
      <c r="A29" s="13" t="s">
        <v>666</v>
      </c>
      <c r="B29" s="13" t="s">
        <v>795</v>
      </c>
      <c r="C29" s="13" t="s">
        <v>666</v>
      </c>
      <c r="D29" s="14"/>
      <c r="E29" s="14" t="s">
        <v>796</v>
      </c>
      <c r="F29" s="14"/>
      <c r="G29" s="16" t="s">
        <v>797</v>
      </c>
      <c r="H29" s="16" t="s">
        <v>798</v>
      </c>
      <c r="I29" s="16" t="s">
        <v>799</v>
      </c>
      <c r="J29" s="16"/>
      <c r="K29" s="1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3" t="s">
        <v>800</v>
      </c>
      <c r="Y29" s="14"/>
      <c r="Z29" s="13" t="s">
        <v>88</v>
      </c>
    </row>
    <row r="30" customFormat="false" ht="58.2" hidden="false" customHeight="false" outlineLevel="0" collapsed="false">
      <c r="A30" s="13" t="s">
        <v>666</v>
      </c>
      <c r="B30" s="13" t="s">
        <v>801</v>
      </c>
      <c r="C30" s="13" t="s">
        <v>772</v>
      </c>
      <c r="D30" s="14"/>
      <c r="E30" s="14" t="s">
        <v>802</v>
      </c>
      <c r="F30" s="14"/>
      <c r="G30" s="16" t="s">
        <v>803</v>
      </c>
      <c r="H30" s="16" t="s">
        <v>804</v>
      </c>
      <c r="I30" s="16"/>
      <c r="J30" s="15" t="s">
        <v>805</v>
      </c>
      <c r="K30" s="16"/>
      <c r="L30" s="14"/>
      <c r="M30" s="14"/>
      <c r="N30" s="14"/>
      <c r="O30" s="14"/>
      <c r="P30" s="14" t="s">
        <v>352</v>
      </c>
      <c r="Q30" s="14"/>
      <c r="R30" s="14"/>
      <c r="S30" s="14"/>
      <c r="T30" s="14"/>
      <c r="U30" s="14"/>
      <c r="V30" s="14"/>
      <c r="W30" s="14"/>
      <c r="X30" s="13" t="s">
        <v>672</v>
      </c>
      <c r="Y30" s="14"/>
      <c r="Z30" s="13" t="s">
        <v>88</v>
      </c>
    </row>
    <row r="31" customFormat="false" ht="58.2" hidden="false" customHeight="false" outlineLevel="0" collapsed="false">
      <c r="A31" s="13" t="s">
        <v>666</v>
      </c>
      <c r="B31" s="13" t="s">
        <v>806</v>
      </c>
      <c r="C31" s="13" t="s">
        <v>772</v>
      </c>
      <c r="D31" s="14"/>
      <c r="E31" s="14" t="s">
        <v>807</v>
      </c>
      <c r="F31" s="14"/>
      <c r="G31" s="16" t="s">
        <v>808</v>
      </c>
      <c r="H31" s="16" t="s">
        <v>809</v>
      </c>
      <c r="I31" s="16"/>
      <c r="J31" s="15" t="s">
        <v>810</v>
      </c>
      <c r="K31" s="16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 t="s">
        <v>811</v>
      </c>
      <c r="W31" s="13" t="s">
        <v>427</v>
      </c>
      <c r="X31" s="14"/>
      <c r="Y31" s="14"/>
      <c r="Z31" s="13" t="s">
        <v>88</v>
      </c>
    </row>
    <row r="32" customFormat="false" ht="58.2" hidden="false" customHeight="false" outlineLevel="0" collapsed="false">
      <c r="A32" s="13" t="s">
        <v>666</v>
      </c>
      <c r="B32" s="13" t="s">
        <v>812</v>
      </c>
      <c r="C32" s="13" t="s">
        <v>772</v>
      </c>
      <c r="D32" s="14"/>
      <c r="E32" s="14" t="s">
        <v>813</v>
      </c>
      <c r="F32" s="14"/>
      <c r="G32" s="16" t="s">
        <v>814</v>
      </c>
      <c r="H32" s="16" t="s">
        <v>815</v>
      </c>
      <c r="I32" s="16"/>
      <c r="J32" s="15" t="s">
        <v>816</v>
      </c>
      <c r="K32" s="16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 t="s">
        <v>817</v>
      </c>
      <c r="W32" s="13" t="s">
        <v>427</v>
      </c>
      <c r="X32" s="14"/>
      <c r="Y32" s="14"/>
      <c r="Z32" s="13" t="s">
        <v>88</v>
      </c>
    </row>
    <row r="33" customFormat="false" ht="58.2" hidden="false" customHeight="false" outlineLevel="0" collapsed="false">
      <c r="A33" s="13" t="s">
        <v>666</v>
      </c>
      <c r="B33" s="13" t="s">
        <v>818</v>
      </c>
      <c r="C33" s="13" t="s">
        <v>772</v>
      </c>
      <c r="D33" s="14"/>
      <c r="E33" s="14" t="s">
        <v>819</v>
      </c>
      <c r="F33" s="14"/>
      <c r="G33" s="16" t="s">
        <v>820</v>
      </c>
      <c r="H33" s="16" t="s">
        <v>821</v>
      </c>
      <c r="I33" s="16"/>
      <c r="J33" s="15" t="s">
        <v>822</v>
      </c>
      <c r="K33" s="1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 t="s">
        <v>823</v>
      </c>
      <c r="W33" s="13" t="s">
        <v>427</v>
      </c>
      <c r="X33" s="14"/>
      <c r="Y33" s="14"/>
      <c r="Z33" s="13" t="s">
        <v>88</v>
      </c>
    </row>
    <row r="34" customFormat="false" ht="58.2" hidden="false" customHeight="false" outlineLevel="0" collapsed="false">
      <c r="A34" s="13" t="s">
        <v>666</v>
      </c>
      <c r="B34" s="13" t="s">
        <v>824</v>
      </c>
      <c r="C34" s="13" t="s">
        <v>772</v>
      </c>
      <c r="D34" s="14"/>
      <c r="E34" s="14" t="s">
        <v>825</v>
      </c>
      <c r="F34" s="14"/>
      <c r="G34" s="16" t="s">
        <v>826</v>
      </c>
      <c r="H34" s="16" t="s">
        <v>827</v>
      </c>
      <c r="I34" s="16"/>
      <c r="J34" s="15" t="s">
        <v>828</v>
      </c>
      <c r="K34" s="16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 t="s">
        <v>829</v>
      </c>
      <c r="W34" s="13" t="s">
        <v>427</v>
      </c>
      <c r="X34" s="14"/>
      <c r="Y34" s="14"/>
      <c r="Z34" s="13" t="s">
        <v>88</v>
      </c>
    </row>
    <row r="35" customFormat="false" ht="58.2" hidden="false" customHeight="false" outlineLevel="0" collapsed="false">
      <c r="A35" s="13" t="s">
        <v>666</v>
      </c>
      <c r="B35" s="13" t="s">
        <v>830</v>
      </c>
      <c r="C35" s="13" t="s">
        <v>772</v>
      </c>
      <c r="D35" s="14"/>
      <c r="E35" s="14" t="s">
        <v>831</v>
      </c>
      <c r="F35" s="14"/>
      <c r="G35" s="16" t="s">
        <v>832</v>
      </c>
      <c r="H35" s="16" t="s">
        <v>833</v>
      </c>
      <c r="I35" s="16"/>
      <c r="J35" s="15" t="s">
        <v>834</v>
      </c>
      <c r="K35" s="16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 t="s">
        <v>835</v>
      </c>
      <c r="W35" s="13" t="s">
        <v>427</v>
      </c>
      <c r="X35" s="14"/>
      <c r="Y35" s="14"/>
      <c r="Z35" s="13" t="s">
        <v>88</v>
      </c>
    </row>
    <row r="36" customFormat="false" ht="58.2" hidden="false" customHeight="false" outlineLevel="0" collapsed="false">
      <c r="A36" s="13" t="s">
        <v>666</v>
      </c>
      <c r="B36" s="13" t="s">
        <v>836</v>
      </c>
      <c r="C36" s="13" t="s">
        <v>772</v>
      </c>
      <c r="D36" s="14"/>
      <c r="E36" s="14" t="s">
        <v>837</v>
      </c>
      <c r="F36" s="14"/>
      <c r="G36" s="16" t="s">
        <v>838</v>
      </c>
      <c r="H36" s="16" t="s">
        <v>839</v>
      </c>
      <c r="I36" s="16"/>
      <c r="J36" s="15" t="s">
        <v>840</v>
      </c>
      <c r="K36" s="16"/>
      <c r="L36" s="14"/>
      <c r="M36" s="14"/>
      <c r="N36" s="14"/>
      <c r="O36" s="14"/>
      <c r="P36" s="14"/>
      <c r="Q36" s="14" t="s">
        <v>352</v>
      </c>
      <c r="R36" s="14"/>
      <c r="S36" s="14"/>
      <c r="T36" s="14"/>
      <c r="U36" s="14"/>
      <c r="V36" s="14" t="s">
        <v>841</v>
      </c>
      <c r="W36" s="13" t="s">
        <v>427</v>
      </c>
      <c r="X36" s="14"/>
      <c r="Y36" s="14"/>
      <c r="Z36" s="13" t="s">
        <v>88</v>
      </c>
    </row>
    <row r="37" customFormat="false" ht="44" hidden="false" customHeight="false" outlineLevel="0" collapsed="false">
      <c r="A37" s="13" t="s">
        <v>666</v>
      </c>
      <c r="B37" s="13" t="s">
        <v>842</v>
      </c>
      <c r="C37" s="13" t="s">
        <v>772</v>
      </c>
      <c r="D37" s="14"/>
      <c r="E37" s="14" t="s">
        <v>843</v>
      </c>
      <c r="F37" s="14"/>
      <c r="G37" s="16" t="s">
        <v>844</v>
      </c>
      <c r="H37" s="16" t="s">
        <v>845</v>
      </c>
      <c r="I37" s="16"/>
      <c r="J37" s="15" t="s">
        <v>846</v>
      </c>
      <c r="K37" s="16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 t="s">
        <v>847</v>
      </c>
      <c r="W37" s="13" t="s">
        <v>427</v>
      </c>
      <c r="X37" s="14"/>
      <c r="Y37" s="14"/>
      <c r="Z37" s="13" t="s">
        <v>88</v>
      </c>
    </row>
    <row r="38" customFormat="false" ht="44" hidden="false" customHeight="false" outlineLevel="0" collapsed="false">
      <c r="A38" s="13" t="s">
        <v>666</v>
      </c>
      <c r="B38" s="13" t="s">
        <v>848</v>
      </c>
      <c r="C38" s="13" t="s">
        <v>849</v>
      </c>
      <c r="D38" s="14"/>
      <c r="E38" s="14" t="s">
        <v>850</v>
      </c>
      <c r="F38" s="14" t="s">
        <v>851</v>
      </c>
      <c r="G38" s="16" t="s">
        <v>852</v>
      </c>
      <c r="H38" s="16" t="s">
        <v>853</v>
      </c>
      <c r="I38" s="16"/>
      <c r="J38" s="16"/>
      <c r="K38" s="16"/>
      <c r="L38" s="14"/>
      <c r="M38" s="14"/>
      <c r="N38" s="14"/>
      <c r="O38" s="13" t="s">
        <v>854</v>
      </c>
      <c r="P38" s="14"/>
      <c r="Q38" s="14"/>
      <c r="R38" s="13" t="s">
        <v>855</v>
      </c>
      <c r="S38" s="14"/>
      <c r="T38" s="14"/>
      <c r="U38" s="14"/>
      <c r="V38" s="14" t="s">
        <v>856</v>
      </c>
      <c r="W38" s="14"/>
      <c r="X38" s="14"/>
      <c r="Y38" s="14"/>
      <c r="Z38" s="13" t="s">
        <v>88</v>
      </c>
    </row>
    <row r="39" customFormat="false" ht="29.85" hidden="false" customHeight="false" outlineLevel="0" collapsed="false">
      <c r="A39" s="13" t="s">
        <v>666</v>
      </c>
      <c r="B39" s="13" t="s">
        <v>857</v>
      </c>
      <c r="C39" s="13" t="s">
        <v>666</v>
      </c>
      <c r="D39" s="14"/>
      <c r="E39" s="14" t="s">
        <v>858</v>
      </c>
      <c r="F39" s="14"/>
      <c r="G39" s="16" t="s">
        <v>859</v>
      </c>
      <c r="H39" s="16" t="s">
        <v>860</v>
      </c>
      <c r="I39" s="16" t="s">
        <v>861</v>
      </c>
      <c r="J39" s="16"/>
      <c r="K39" s="16"/>
      <c r="L39" s="14"/>
      <c r="M39" s="14"/>
      <c r="N39" s="14"/>
      <c r="O39" s="14"/>
      <c r="P39" s="14"/>
      <c r="Q39" s="14"/>
      <c r="R39" s="14"/>
      <c r="S39" s="14"/>
      <c r="T39" s="14" t="s">
        <v>352</v>
      </c>
      <c r="U39" s="14"/>
      <c r="V39" s="14"/>
      <c r="W39" s="14"/>
      <c r="X39" s="14"/>
      <c r="Y39" s="13" t="s">
        <v>862</v>
      </c>
      <c r="Z39" s="13" t="s">
        <v>863</v>
      </c>
    </row>
    <row r="40" customFormat="false" ht="29.85" hidden="false" customHeight="false" outlineLevel="0" collapsed="false">
      <c r="A40" s="13" t="s">
        <v>666</v>
      </c>
      <c r="B40" s="13" t="s">
        <v>864</v>
      </c>
      <c r="C40" s="13" t="s">
        <v>666</v>
      </c>
      <c r="D40" s="14"/>
      <c r="E40" s="14" t="s">
        <v>865</v>
      </c>
      <c r="F40" s="14"/>
      <c r="G40" s="16" t="s">
        <v>866</v>
      </c>
      <c r="H40" s="16" t="s">
        <v>867</v>
      </c>
      <c r="I40" s="16" t="s">
        <v>868</v>
      </c>
      <c r="J40" s="16"/>
      <c r="K40" s="16"/>
      <c r="L40" s="14"/>
      <c r="M40" s="14"/>
      <c r="N40" s="14"/>
      <c r="O40" s="14"/>
      <c r="P40" s="14"/>
      <c r="Q40" s="14"/>
      <c r="R40" s="14"/>
      <c r="S40" s="14"/>
      <c r="T40" s="14" t="s">
        <v>352</v>
      </c>
      <c r="U40" s="14"/>
      <c r="V40" s="14"/>
      <c r="W40" s="14"/>
      <c r="X40" s="14"/>
      <c r="Y40" s="13" t="s">
        <v>862</v>
      </c>
      <c r="Z40" s="13" t="s">
        <v>863</v>
      </c>
    </row>
    <row r="41" customFormat="false" ht="29.85" hidden="false" customHeight="false" outlineLevel="0" collapsed="false">
      <c r="A41" s="13" t="s">
        <v>666</v>
      </c>
      <c r="B41" s="13" t="s">
        <v>869</v>
      </c>
      <c r="C41" s="13" t="s">
        <v>666</v>
      </c>
      <c r="D41" s="14"/>
      <c r="E41" s="14" t="s">
        <v>870</v>
      </c>
      <c r="F41" s="14"/>
      <c r="G41" s="16" t="s">
        <v>871</v>
      </c>
      <c r="H41" s="16" t="s">
        <v>872</v>
      </c>
      <c r="I41" s="16" t="s">
        <v>873</v>
      </c>
      <c r="J41" s="16"/>
      <c r="K41" s="16"/>
      <c r="L41" s="14"/>
      <c r="M41" s="14"/>
      <c r="N41" s="14"/>
      <c r="O41" s="14"/>
      <c r="P41" s="14"/>
      <c r="Q41" s="14"/>
      <c r="R41" s="14"/>
      <c r="S41" s="13" t="s">
        <v>874</v>
      </c>
      <c r="T41" s="14"/>
      <c r="U41" s="14"/>
      <c r="V41" s="14"/>
      <c r="W41" s="14"/>
      <c r="X41" s="14"/>
      <c r="Y41" s="13" t="s">
        <v>862</v>
      </c>
      <c r="Z41" s="13" t="s">
        <v>863</v>
      </c>
    </row>
    <row r="42" customFormat="false" ht="44" hidden="false" customHeight="false" outlineLevel="0" collapsed="false">
      <c r="A42" s="13" t="s">
        <v>875</v>
      </c>
      <c r="B42" s="13" t="s">
        <v>110</v>
      </c>
      <c r="C42" s="13" t="s">
        <v>875</v>
      </c>
      <c r="D42" s="14"/>
      <c r="E42" s="14" t="s">
        <v>876</v>
      </c>
      <c r="F42" s="14"/>
      <c r="G42" s="16" t="s">
        <v>877</v>
      </c>
      <c r="H42" s="16" t="s">
        <v>878</v>
      </c>
      <c r="I42" s="16"/>
      <c r="J42" s="15" t="s">
        <v>879</v>
      </c>
      <c r="K42" s="16"/>
      <c r="L42" s="14"/>
      <c r="M42" s="14"/>
      <c r="N42" s="14"/>
      <c r="O42" s="14"/>
      <c r="P42" s="14" t="s">
        <v>352</v>
      </c>
      <c r="Q42" s="14"/>
      <c r="R42" s="14"/>
      <c r="S42" s="14"/>
      <c r="T42" s="14"/>
      <c r="U42" s="13" t="s">
        <v>107</v>
      </c>
      <c r="V42" s="14"/>
      <c r="W42" s="14"/>
      <c r="X42" s="13" t="s">
        <v>678</v>
      </c>
      <c r="Y42" s="14"/>
      <c r="Z42" s="13" t="s">
        <v>88</v>
      </c>
    </row>
    <row r="43" customFormat="false" ht="29.85" hidden="false" customHeight="false" outlineLevel="0" collapsed="false">
      <c r="A43" s="13" t="s">
        <v>875</v>
      </c>
      <c r="B43" s="13" t="s">
        <v>152</v>
      </c>
      <c r="C43" s="13" t="s">
        <v>875</v>
      </c>
      <c r="D43" s="14"/>
      <c r="E43" s="14" t="s">
        <v>880</v>
      </c>
      <c r="F43" s="14"/>
      <c r="G43" s="16" t="s">
        <v>881</v>
      </c>
      <c r="H43" s="16" t="s">
        <v>882</v>
      </c>
      <c r="I43" s="16" t="s">
        <v>883</v>
      </c>
      <c r="J43" s="16"/>
      <c r="K43" s="16"/>
      <c r="L43" s="14"/>
      <c r="M43" s="14"/>
      <c r="N43" s="14"/>
      <c r="O43" s="14"/>
      <c r="P43" s="14"/>
      <c r="Q43" s="14"/>
      <c r="R43" s="14"/>
      <c r="S43" s="14"/>
      <c r="T43" s="14"/>
      <c r="U43" s="13" t="s">
        <v>150</v>
      </c>
      <c r="V43" s="14"/>
      <c r="W43" s="14"/>
      <c r="X43" s="13" t="s">
        <v>884</v>
      </c>
      <c r="Y43" s="14"/>
      <c r="Z43" s="13" t="s">
        <v>88</v>
      </c>
    </row>
    <row r="44" customFormat="false" ht="29.85" hidden="false" customHeight="false" outlineLevel="0" collapsed="false">
      <c r="A44" s="13" t="s">
        <v>885</v>
      </c>
      <c r="B44" s="13" t="s">
        <v>886</v>
      </c>
      <c r="C44" s="13" t="s">
        <v>666</v>
      </c>
      <c r="D44" s="14"/>
      <c r="E44" s="14" t="s">
        <v>887</v>
      </c>
      <c r="F44" s="14"/>
      <c r="G44" s="16" t="s">
        <v>888</v>
      </c>
      <c r="H44" s="16" t="s">
        <v>889</v>
      </c>
      <c r="I44" s="16" t="s">
        <v>890</v>
      </c>
      <c r="J44" s="16"/>
      <c r="K44" s="16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3" t="s">
        <v>891</v>
      </c>
    </row>
    <row r="45" customFormat="false" ht="29.85" hidden="false" customHeight="false" outlineLevel="0" collapsed="false">
      <c r="A45" s="13" t="s">
        <v>885</v>
      </c>
      <c r="B45" s="13" t="s">
        <v>892</v>
      </c>
      <c r="C45" s="13" t="s">
        <v>666</v>
      </c>
      <c r="D45" s="14"/>
      <c r="E45" s="14" t="s">
        <v>893</v>
      </c>
      <c r="F45" s="14"/>
      <c r="G45" s="16" t="s">
        <v>894</v>
      </c>
      <c r="H45" s="16" t="s">
        <v>895</v>
      </c>
      <c r="I45" s="16" t="s">
        <v>896</v>
      </c>
      <c r="J45" s="16"/>
      <c r="K45" s="1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3" t="s">
        <v>891</v>
      </c>
    </row>
    <row r="46" customFormat="false" ht="29.85" hidden="false" customHeight="false" outlineLevel="0" collapsed="false">
      <c r="A46" s="13" t="s">
        <v>885</v>
      </c>
      <c r="B46" s="13" t="s">
        <v>897</v>
      </c>
      <c r="C46" s="13" t="s">
        <v>666</v>
      </c>
      <c r="D46" s="14"/>
      <c r="E46" s="14" t="s">
        <v>898</v>
      </c>
      <c r="F46" s="14"/>
      <c r="G46" s="16" t="s">
        <v>899</v>
      </c>
      <c r="H46" s="16" t="s">
        <v>900</v>
      </c>
      <c r="I46" s="16" t="s">
        <v>901</v>
      </c>
      <c r="J46" s="16"/>
      <c r="K46" s="16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3" t="s">
        <v>902</v>
      </c>
      <c r="Y46" s="14"/>
      <c r="Z46" s="13" t="s">
        <v>891</v>
      </c>
    </row>
    <row r="47" customFormat="false" ht="29.85" hidden="false" customHeight="false" outlineLevel="0" collapsed="false">
      <c r="A47" s="13" t="s">
        <v>885</v>
      </c>
      <c r="B47" s="13" t="s">
        <v>903</v>
      </c>
      <c r="C47" s="13" t="s">
        <v>666</v>
      </c>
      <c r="D47" s="14"/>
      <c r="E47" s="14" t="s">
        <v>904</v>
      </c>
      <c r="F47" s="14"/>
      <c r="G47" s="16" t="s">
        <v>905</v>
      </c>
      <c r="H47" s="16" t="s">
        <v>906</v>
      </c>
      <c r="I47" s="16" t="s">
        <v>907</v>
      </c>
      <c r="J47" s="16"/>
      <c r="K47" s="16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3" t="s">
        <v>891</v>
      </c>
    </row>
    <row r="48" customFormat="false" ht="15" hidden="false" customHeight="false" outlineLevel="0" collapsed="false">
      <c r="A48" s="13" t="s">
        <v>885</v>
      </c>
      <c r="B48" s="13" t="s">
        <v>908</v>
      </c>
      <c r="C48" s="13" t="s">
        <v>666</v>
      </c>
      <c r="D48" s="14"/>
      <c r="E48" s="14" t="s">
        <v>909</v>
      </c>
      <c r="F48" s="14"/>
      <c r="G48" s="16" t="s">
        <v>910</v>
      </c>
      <c r="H48" s="16" t="s">
        <v>911</v>
      </c>
      <c r="I48" s="16" t="s">
        <v>912</v>
      </c>
      <c r="J48" s="16"/>
      <c r="K48" s="16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3" t="s">
        <v>891</v>
      </c>
    </row>
    <row r="49" customFormat="false" ht="29.85" hidden="false" customHeight="false" outlineLevel="0" collapsed="false">
      <c r="A49" s="13" t="s">
        <v>885</v>
      </c>
      <c r="B49" s="13" t="s">
        <v>913</v>
      </c>
      <c r="C49" s="13" t="s">
        <v>666</v>
      </c>
      <c r="D49" s="14"/>
      <c r="E49" s="14" t="s">
        <v>914</v>
      </c>
      <c r="F49" s="14"/>
      <c r="G49" s="16" t="s">
        <v>915</v>
      </c>
      <c r="H49" s="16" t="s">
        <v>916</v>
      </c>
      <c r="I49" s="16" t="s">
        <v>917</v>
      </c>
      <c r="J49" s="16"/>
      <c r="K49" s="16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3" t="s">
        <v>891</v>
      </c>
    </row>
    <row r="50" customFormat="false" ht="29.85" hidden="false" customHeight="false" outlineLevel="0" collapsed="false">
      <c r="A50" s="13" t="s">
        <v>885</v>
      </c>
      <c r="B50" s="13" t="s">
        <v>918</v>
      </c>
      <c r="C50" s="13" t="s">
        <v>59</v>
      </c>
      <c r="D50" s="14"/>
      <c r="E50" s="14" t="s">
        <v>919</v>
      </c>
      <c r="F50" s="14"/>
      <c r="G50" s="16" t="s">
        <v>920</v>
      </c>
      <c r="H50" s="16" t="s">
        <v>921</v>
      </c>
      <c r="I50" s="16"/>
      <c r="J50" s="16"/>
      <c r="K50" s="16"/>
      <c r="L50" s="14" t="n">
        <v>380</v>
      </c>
      <c r="M50" s="14" t="n">
        <v>2</v>
      </c>
      <c r="N50" s="14" t="s">
        <v>352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3" t="s">
        <v>891</v>
      </c>
    </row>
    <row r="51" customFormat="false" ht="15" hidden="false" customHeight="false" outlineLevel="0" collapsed="false">
      <c r="A51" s="13" t="s">
        <v>885</v>
      </c>
      <c r="B51" s="13" t="s">
        <v>922</v>
      </c>
      <c r="C51" s="13" t="s">
        <v>59</v>
      </c>
      <c r="D51" s="14"/>
      <c r="E51" s="14" t="s">
        <v>923</v>
      </c>
      <c r="F51" s="14"/>
      <c r="G51" s="16" t="s">
        <v>924</v>
      </c>
      <c r="H51" s="16" t="s">
        <v>925</v>
      </c>
      <c r="I51" s="16"/>
      <c r="J51" s="16"/>
      <c r="K51" s="16"/>
      <c r="L51" s="14" t="n">
        <v>180</v>
      </c>
      <c r="M51" s="14" t="n">
        <v>1</v>
      </c>
      <c r="N51" s="14" t="s">
        <v>352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3" t="s">
        <v>891</v>
      </c>
    </row>
    <row r="52" customFormat="false" ht="15" hidden="false" customHeight="false" outlineLevel="0" collapsed="false">
      <c r="A52" s="13" t="s">
        <v>885</v>
      </c>
      <c r="B52" s="13" t="s">
        <v>926</v>
      </c>
      <c r="C52" s="13" t="s">
        <v>59</v>
      </c>
      <c r="D52" s="14"/>
      <c r="E52" s="14" t="s">
        <v>927</v>
      </c>
      <c r="F52" s="14"/>
      <c r="G52" s="16" t="s">
        <v>928</v>
      </c>
      <c r="H52" s="16" t="s">
        <v>929</v>
      </c>
      <c r="I52" s="16"/>
      <c r="J52" s="16"/>
      <c r="K52" s="16"/>
      <c r="L52" s="14" t="n">
        <v>320</v>
      </c>
      <c r="M52" s="14" t="n">
        <v>1</v>
      </c>
      <c r="N52" s="14" t="s">
        <v>352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3" t="s">
        <v>891</v>
      </c>
    </row>
    <row r="53" customFormat="false" ht="29.85" hidden="false" customHeight="false" outlineLevel="0" collapsed="false">
      <c r="A53" s="13" t="s">
        <v>885</v>
      </c>
      <c r="B53" s="13" t="s">
        <v>930</v>
      </c>
      <c r="C53" s="13" t="s">
        <v>59</v>
      </c>
      <c r="D53" s="14"/>
      <c r="E53" s="14" t="s">
        <v>931</v>
      </c>
      <c r="F53" s="14"/>
      <c r="G53" s="16" t="s">
        <v>932</v>
      </c>
      <c r="H53" s="16" t="s">
        <v>933</v>
      </c>
      <c r="I53" s="16"/>
      <c r="J53" s="16"/>
      <c r="K53" s="16"/>
      <c r="L53" s="14" t="n">
        <v>450</v>
      </c>
      <c r="M53" s="14" t="n">
        <v>2</v>
      </c>
      <c r="N53" s="14" t="s">
        <v>352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3" t="s">
        <v>891</v>
      </c>
    </row>
    <row r="54" customFormat="false" ht="29.85" hidden="false" customHeight="false" outlineLevel="0" collapsed="false">
      <c r="A54" s="13" t="s">
        <v>885</v>
      </c>
      <c r="B54" s="13" t="s">
        <v>934</v>
      </c>
      <c r="C54" s="13" t="s">
        <v>59</v>
      </c>
      <c r="D54" s="14"/>
      <c r="E54" s="14" t="s">
        <v>935</v>
      </c>
      <c r="F54" s="14"/>
      <c r="G54" s="16" t="s">
        <v>936</v>
      </c>
      <c r="H54" s="16" t="s">
        <v>937</v>
      </c>
      <c r="I54" s="16"/>
      <c r="J54" s="16"/>
      <c r="K54" s="16"/>
      <c r="L54" s="14" t="n">
        <v>120</v>
      </c>
      <c r="M54" s="14" t="n">
        <v>1</v>
      </c>
      <c r="N54" s="14" t="s">
        <v>352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3" t="s">
        <v>891</v>
      </c>
    </row>
    <row r="55" customFormat="false" ht="72.35" hidden="false" customHeight="false" outlineLevel="0" collapsed="false">
      <c r="A55" s="13" t="s">
        <v>885</v>
      </c>
      <c r="B55" s="13" t="s">
        <v>938</v>
      </c>
      <c r="C55" s="13" t="s">
        <v>939</v>
      </c>
      <c r="D55" s="13" t="s">
        <v>940</v>
      </c>
      <c r="E55" s="14" t="s">
        <v>941</v>
      </c>
      <c r="F55" s="14"/>
      <c r="G55" s="16" t="s">
        <v>942</v>
      </c>
      <c r="H55" s="16" t="s">
        <v>943</v>
      </c>
      <c r="I55" s="16"/>
      <c r="J55" s="16"/>
      <c r="K55" s="15" t="s">
        <v>944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3" t="s">
        <v>891</v>
      </c>
    </row>
    <row r="56" customFormat="false" ht="72.35" hidden="false" customHeight="false" outlineLevel="0" collapsed="false">
      <c r="A56" s="13" t="s">
        <v>885</v>
      </c>
      <c r="B56" s="13" t="s">
        <v>945</v>
      </c>
      <c r="C56" s="13" t="s">
        <v>939</v>
      </c>
      <c r="D56" s="13" t="s">
        <v>940</v>
      </c>
      <c r="E56" s="14" t="s">
        <v>946</v>
      </c>
      <c r="F56" s="14"/>
      <c r="G56" s="16" t="s">
        <v>947</v>
      </c>
      <c r="H56" s="16" t="s">
        <v>948</v>
      </c>
      <c r="I56" s="16"/>
      <c r="J56" s="16"/>
      <c r="K56" s="15" t="s">
        <v>949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3" t="s">
        <v>891</v>
      </c>
    </row>
    <row r="57" customFormat="false" ht="72.35" hidden="false" customHeight="false" outlineLevel="0" collapsed="false">
      <c r="A57" s="13" t="s">
        <v>885</v>
      </c>
      <c r="B57" s="13" t="s">
        <v>950</v>
      </c>
      <c r="C57" s="13" t="s">
        <v>939</v>
      </c>
      <c r="D57" s="13" t="s">
        <v>940</v>
      </c>
      <c r="E57" s="14" t="s">
        <v>951</v>
      </c>
      <c r="F57" s="14"/>
      <c r="G57" s="16" t="s">
        <v>952</v>
      </c>
      <c r="H57" s="16" t="s">
        <v>953</v>
      </c>
      <c r="I57" s="16"/>
      <c r="J57" s="16"/>
      <c r="K57" s="15" t="s">
        <v>954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3" t="s">
        <v>891</v>
      </c>
    </row>
    <row r="58" customFormat="false" ht="72.35" hidden="false" customHeight="false" outlineLevel="0" collapsed="false">
      <c r="A58" s="13" t="s">
        <v>885</v>
      </c>
      <c r="B58" s="13" t="s">
        <v>955</v>
      </c>
      <c r="C58" s="13" t="s">
        <v>939</v>
      </c>
      <c r="D58" s="13" t="s">
        <v>940</v>
      </c>
      <c r="E58" s="14" t="s">
        <v>956</v>
      </c>
      <c r="F58" s="14"/>
      <c r="G58" s="16" t="s">
        <v>957</v>
      </c>
      <c r="H58" s="16" t="s">
        <v>958</v>
      </c>
      <c r="I58" s="16"/>
      <c r="J58" s="16"/>
      <c r="K58" s="15" t="s">
        <v>959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3" t="s">
        <v>891</v>
      </c>
    </row>
    <row r="59" customFormat="false" ht="72.35" hidden="false" customHeight="false" outlineLevel="0" collapsed="false">
      <c r="A59" s="13" t="s">
        <v>885</v>
      </c>
      <c r="B59" s="13" t="s">
        <v>960</v>
      </c>
      <c r="C59" s="13" t="s">
        <v>939</v>
      </c>
      <c r="D59" s="13" t="s">
        <v>940</v>
      </c>
      <c r="E59" s="14" t="s">
        <v>961</v>
      </c>
      <c r="F59" s="14"/>
      <c r="G59" s="16" t="s">
        <v>962</v>
      </c>
      <c r="H59" s="16" t="s">
        <v>963</v>
      </c>
      <c r="I59" s="16"/>
      <c r="J59" s="16"/>
      <c r="K59" s="15" t="s">
        <v>964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3" t="s">
        <v>891</v>
      </c>
    </row>
    <row r="60" customFormat="false" ht="72.35" hidden="false" customHeight="false" outlineLevel="0" collapsed="false">
      <c r="A60" s="13" t="s">
        <v>885</v>
      </c>
      <c r="B60" s="13" t="s">
        <v>965</v>
      </c>
      <c r="C60" s="13" t="s">
        <v>939</v>
      </c>
      <c r="D60" s="13" t="s">
        <v>940</v>
      </c>
      <c r="E60" s="14" t="s">
        <v>966</v>
      </c>
      <c r="F60" s="14"/>
      <c r="G60" s="16" t="s">
        <v>967</v>
      </c>
      <c r="H60" s="16" t="s">
        <v>968</v>
      </c>
      <c r="I60" s="16"/>
      <c r="J60" s="16"/>
      <c r="K60" s="15" t="s">
        <v>969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3" t="s">
        <v>891</v>
      </c>
    </row>
    <row r="61" customFormat="false" ht="44" hidden="false" customHeight="false" outlineLevel="0" collapsed="false">
      <c r="A61" s="13" t="s">
        <v>885</v>
      </c>
      <c r="B61" s="13" t="s">
        <v>970</v>
      </c>
      <c r="C61" s="13" t="s">
        <v>666</v>
      </c>
      <c r="D61" s="14"/>
      <c r="E61" s="14" t="s">
        <v>971</v>
      </c>
      <c r="F61" s="14"/>
      <c r="G61" s="16" t="s">
        <v>972</v>
      </c>
      <c r="H61" s="16" t="s">
        <v>973</v>
      </c>
      <c r="I61" s="16" t="s">
        <v>974</v>
      </c>
      <c r="J61" s="16"/>
      <c r="K61" s="16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3" t="s">
        <v>902</v>
      </c>
      <c r="Y61" s="14"/>
      <c r="Z61" s="13" t="s">
        <v>891</v>
      </c>
    </row>
    <row r="62" customFormat="false" ht="44" hidden="false" customHeight="false" outlineLevel="0" collapsed="false">
      <c r="A62" s="13" t="s">
        <v>885</v>
      </c>
      <c r="B62" s="13" t="s">
        <v>975</v>
      </c>
      <c r="C62" s="13" t="s">
        <v>666</v>
      </c>
      <c r="D62" s="14"/>
      <c r="E62" s="14" t="s">
        <v>976</v>
      </c>
      <c r="F62" s="14"/>
      <c r="G62" s="16" t="s">
        <v>977</v>
      </c>
      <c r="H62" s="16" t="s">
        <v>978</v>
      </c>
      <c r="I62" s="16" t="s">
        <v>979</v>
      </c>
      <c r="J62" s="16"/>
      <c r="K62" s="16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3" t="s">
        <v>980</v>
      </c>
      <c r="Y62" s="14"/>
      <c r="Z62" s="13" t="s">
        <v>891</v>
      </c>
    </row>
    <row r="63" customFormat="false" ht="29.85" hidden="false" customHeight="false" outlineLevel="0" collapsed="false">
      <c r="A63" s="13" t="s">
        <v>885</v>
      </c>
      <c r="B63" s="13" t="s">
        <v>981</v>
      </c>
      <c r="C63" s="13" t="s">
        <v>666</v>
      </c>
      <c r="D63" s="14"/>
      <c r="E63" s="14" t="s">
        <v>982</v>
      </c>
      <c r="F63" s="14"/>
      <c r="G63" s="16" t="s">
        <v>983</v>
      </c>
      <c r="H63" s="16" t="s">
        <v>984</v>
      </c>
      <c r="I63" s="16" t="s">
        <v>985</v>
      </c>
      <c r="J63" s="16"/>
      <c r="K63" s="16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3" t="s">
        <v>891</v>
      </c>
    </row>
    <row r="64" customFormat="false" ht="15" hidden="false" customHeight="false" outlineLevel="0" collapsed="false">
      <c r="A64" s="13" t="s">
        <v>885</v>
      </c>
      <c r="B64" s="13" t="s">
        <v>986</v>
      </c>
      <c r="C64" s="13" t="s">
        <v>666</v>
      </c>
      <c r="D64" s="14"/>
      <c r="E64" s="14" t="s">
        <v>987</v>
      </c>
      <c r="F64" s="14"/>
      <c r="G64" s="16" t="s">
        <v>988</v>
      </c>
      <c r="H64" s="16" t="s">
        <v>989</v>
      </c>
      <c r="I64" s="16" t="s">
        <v>990</v>
      </c>
      <c r="J64" s="16"/>
      <c r="K64" s="16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3" t="s">
        <v>891</v>
      </c>
    </row>
  </sheetData>
  <autoFilter ref="A4:Z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9" t="s">
        <v>991</v>
      </c>
    </row>
    <row r="2" customFormat="false" ht="15" hidden="false" customHeight="false" outlineLevel="0" collapsed="false">
      <c r="A2" s="10" t="s">
        <v>992</v>
      </c>
    </row>
    <row r="4" customFormat="false" ht="30" hidden="false" customHeight="true" outlineLevel="0" collapsed="false">
      <c r="A4" s="11" t="s">
        <v>70</v>
      </c>
      <c r="B4" s="12" t="s">
        <v>276</v>
      </c>
      <c r="C4" s="12" t="s">
        <v>993</v>
      </c>
      <c r="D4" s="12" t="s">
        <v>994</v>
      </c>
      <c r="E4" s="12" t="s">
        <v>658</v>
      </c>
      <c r="F4" s="12" t="s">
        <v>661</v>
      </c>
      <c r="G4" s="12" t="s">
        <v>196</v>
      </c>
      <c r="H4" s="12" t="s">
        <v>280</v>
      </c>
      <c r="I4" s="12" t="s">
        <v>198</v>
      </c>
      <c r="J4" s="12" t="s">
        <v>281</v>
      </c>
      <c r="K4" s="12" t="s">
        <v>83</v>
      </c>
    </row>
    <row r="5" customFormat="false" ht="15" hidden="false" customHeight="false" outlineLevel="0" collapsed="false">
      <c r="A5" s="13" t="s">
        <v>995</v>
      </c>
      <c r="B5" s="14" t="s">
        <v>996</v>
      </c>
      <c r="C5" s="14" t="n">
        <v>32</v>
      </c>
      <c r="D5" s="14" t="n">
        <v>0</v>
      </c>
      <c r="E5" s="14" t="s">
        <v>352</v>
      </c>
      <c r="F5" s="14"/>
      <c r="G5" s="16" t="s">
        <v>997</v>
      </c>
      <c r="H5" s="16" t="s">
        <v>998</v>
      </c>
      <c r="I5" s="13" t="s">
        <v>999</v>
      </c>
      <c r="J5" s="14"/>
      <c r="K5" s="13" t="s">
        <v>88</v>
      </c>
    </row>
    <row r="6" customFormat="false" ht="15" hidden="false" customHeight="false" outlineLevel="0" collapsed="false">
      <c r="A6" s="13" t="s">
        <v>1000</v>
      </c>
      <c r="B6" s="14" t="s">
        <v>1001</v>
      </c>
      <c r="C6" s="14" t="n">
        <v>8</v>
      </c>
      <c r="D6" s="14" t="n">
        <v>3</v>
      </c>
      <c r="E6" s="14" t="s">
        <v>352</v>
      </c>
      <c r="F6" s="14"/>
      <c r="G6" s="16" t="s">
        <v>1002</v>
      </c>
      <c r="H6" s="16" t="s">
        <v>1003</v>
      </c>
      <c r="I6" s="13" t="s">
        <v>1004</v>
      </c>
      <c r="J6" s="14"/>
      <c r="K6" s="13" t="s">
        <v>88</v>
      </c>
    </row>
    <row r="7" customFormat="false" ht="15" hidden="false" customHeight="false" outlineLevel="0" collapsed="false">
      <c r="A7" s="13" t="s">
        <v>1005</v>
      </c>
      <c r="B7" s="14" t="s">
        <v>1006</v>
      </c>
      <c r="C7" s="14" t="n">
        <v>6</v>
      </c>
      <c r="D7" s="14" t="n">
        <v>0</v>
      </c>
      <c r="E7" s="14" t="s">
        <v>396</v>
      </c>
      <c r="F7" s="14"/>
      <c r="G7" s="16" t="s">
        <v>1007</v>
      </c>
      <c r="H7" s="16" t="s">
        <v>1008</v>
      </c>
      <c r="I7" s="13" t="s">
        <v>1009</v>
      </c>
      <c r="J7" s="14"/>
      <c r="K7" s="13" t="s">
        <v>88</v>
      </c>
    </row>
    <row r="8" customFormat="false" ht="15" hidden="false" customHeight="false" outlineLevel="0" collapsed="false">
      <c r="A8" s="13" t="s">
        <v>1010</v>
      </c>
      <c r="B8" s="14" t="s">
        <v>1011</v>
      </c>
      <c r="C8" s="14" t="n">
        <v>12</v>
      </c>
      <c r="D8" s="14" t="n">
        <v>0</v>
      </c>
      <c r="E8" s="14" t="s">
        <v>396</v>
      </c>
      <c r="F8" s="14"/>
      <c r="G8" s="16" t="s">
        <v>1012</v>
      </c>
      <c r="H8" s="16" t="s">
        <v>1013</v>
      </c>
      <c r="I8" s="13" t="s">
        <v>1009</v>
      </c>
      <c r="J8" s="14"/>
      <c r="K8" s="13" t="s">
        <v>88</v>
      </c>
    </row>
    <row r="9" customFormat="false" ht="15" hidden="false" customHeight="false" outlineLevel="0" collapsed="false">
      <c r="A9" s="13" t="s">
        <v>1014</v>
      </c>
      <c r="B9" s="14" t="s">
        <v>1015</v>
      </c>
      <c r="C9" s="14" t="n">
        <v>15</v>
      </c>
      <c r="D9" s="14" t="n">
        <v>4</v>
      </c>
      <c r="E9" s="14" t="s">
        <v>352</v>
      </c>
      <c r="F9" s="14"/>
      <c r="G9" s="16" t="s">
        <v>1016</v>
      </c>
      <c r="H9" s="16" t="s">
        <v>1017</v>
      </c>
      <c r="I9" s="13" t="s">
        <v>1004</v>
      </c>
      <c r="J9" s="14"/>
      <c r="K9" s="13" t="s">
        <v>88</v>
      </c>
    </row>
    <row r="10" customFormat="false" ht="15" hidden="false" customHeight="false" outlineLevel="0" collapsed="false">
      <c r="A10" s="13" t="s">
        <v>1018</v>
      </c>
      <c r="B10" s="14" t="s">
        <v>1019</v>
      </c>
      <c r="C10" s="14" t="n">
        <v>2</v>
      </c>
      <c r="D10" s="14" t="n">
        <v>2</v>
      </c>
      <c r="E10" s="14" t="s">
        <v>352</v>
      </c>
      <c r="F10" s="14"/>
      <c r="G10" s="16" t="s">
        <v>1020</v>
      </c>
      <c r="H10" s="16" t="s">
        <v>1021</v>
      </c>
      <c r="I10" s="13" t="s">
        <v>1004</v>
      </c>
      <c r="J10" s="14"/>
      <c r="K10" s="13" t="s">
        <v>88</v>
      </c>
    </row>
    <row r="11" customFormat="false" ht="15" hidden="false" customHeight="false" outlineLevel="0" collapsed="false">
      <c r="A11" s="13" t="s">
        <v>1022</v>
      </c>
      <c r="B11" s="14" t="s">
        <v>1023</v>
      </c>
      <c r="C11" s="14" t="n">
        <v>45</v>
      </c>
      <c r="D11" s="14" t="n">
        <v>0</v>
      </c>
      <c r="E11" s="14" t="s">
        <v>352</v>
      </c>
      <c r="F11" s="14"/>
      <c r="G11" s="16" t="s">
        <v>1024</v>
      </c>
      <c r="H11" s="16" t="s">
        <v>1025</v>
      </c>
      <c r="I11" s="13" t="s">
        <v>999</v>
      </c>
      <c r="J11" s="14"/>
      <c r="K11" s="13" t="s">
        <v>88</v>
      </c>
    </row>
    <row r="12" customFormat="false" ht="15" hidden="false" customHeight="false" outlineLevel="0" collapsed="false">
      <c r="A12" s="13" t="s">
        <v>1026</v>
      </c>
      <c r="B12" s="14" t="s">
        <v>1027</v>
      </c>
      <c r="C12" s="14" t="n">
        <v>38</v>
      </c>
      <c r="D12" s="14" t="n">
        <v>0</v>
      </c>
      <c r="E12" s="14" t="s">
        <v>396</v>
      </c>
      <c r="F12" s="14"/>
      <c r="G12" s="16" t="s">
        <v>1028</v>
      </c>
      <c r="H12" s="16" t="s">
        <v>1029</v>
      </c>
      <c r="I12" s="13" t="s">
        <v>1009</v>
      </c>
      <c r="J12" s="14"/>
      <c r="K12" s="13" t="s">
        <v>88</v>
      </c>
    </row>
    <row r="13" customFormat="false" ht="15" hidden="false" customHeight="false" outlineLevel="0" collapsed="false">
      <c r="A13" s="13" t="s">
        <v>1030</v>
      </c>
      <c r="B13" s="14" t="s">
        <v>1031</v>
      </c>
      <c r="C13" s="14" t="n">
        <v>25</v>
      </c>
      <c r="D13" s="14" t="n">
        <v>0</v>
      </c>
      <c r="E13" s="14" t="s">
        <v>396</v>
      </c>
      <c r="F13" s="14"/>
      <c r="G13" s="16" t="s">
        <v>1032</v>
      </c>
      <c r="H13" s="16" t="s">
        <v>1033</v>
      </c>
      <c r="I13" s="13" t="s">
        <v>1034</v>
      </c>
      <c r="J13" s="14"/>
      <c r="K13" s="13" t="s">
        <v>88</v>
      </c>
    </row>
    <row r="14" customFormat="false" ht="15" hidden="false" customHeight="false" outlineLevel="0" collapsed="false">
      <c r="A14" s="13" t="s">
        <v>1035</v>
      </c>
      <c r="B14" s="14" t="s">
        <v>1036</v>
      </c>
      <c r="C14" s="14" t="n">
        <v>10</v>
      </c>
      <c r="D14" s="14" t="n">
        <v>0</v>
      </c>
      <c r="E14" s="14" t="s">
        <v>352</v>
      </c>
      <c r="F14" s="14"/>
      <c r="G14" s="16" t="s">
        <v>1037</v>
      </c>
      <c r="H14" s="16" t="s">
        <v>1038</v>
      </c>
      <c r="I14" s="13" t="s">
        <v>999</v>
      </c>
      <c r="J14" s="14"/>
      <c r="K14" s="13" t="s">
        <v>88</v>
      </c>
    </row>
    <row r="15" customFormat="false" ht="15" hidden="false" customHeight="false" outlineLevel="0" collapsed="false">
      <c r="A15" s="13" t="s">
        <v>1039</v>
      </c>
      <c r="B15" s="14" t="s">
        <v>1040</v>
      </c>
      <c r="C15" s="14" t="n">
        <v>18</v>
      </c>
      <c r="D15" s="14" t="n">
        <v>0</v>
      </c>
      <c r="E15" s="14" t="s">
        <v>396</v>
      </c>
      <c r="F15" s="14"/>
      <c r="G15" s="16" t="s">
        <v>1041</v>
      </c>
      <c r="H15" s="16" t="s">
        <v>1042</v>
      </c>
      <c r="I15" s="13" t="s">
        <v>1009</v>
      </c>
      <c r="J15" s="14"/>
      <c r="K15" s="13" t="s">
        <v>88</v>
      </c>
    </row>
    <row r="16" customFormat="false" ht="15" hidden="false" customHeight="false" outlineLevel="0" collapsed="false">
      <c r="A16" s="13" t="s">
        <v>1043</v>
      </c>
      <c r="B16" s="14" t="s">
        <v>1044</v>
      </c>
      <c r="C16" s="14" t="n">
        <v>20</v>
      </c>
      <c r="D16" s="14" t="n">
        <v>0</v>
      </c>
      <c r="E16" s="14" t="s">
        <v>396</v>
      </c>
      <c r="F16" s="14" t="s">
        <v>352</v>
      </c>
      <c r="G16" s="16" t="s">
        <v>1045</v>
      </c>
      <c r="H16" s="16" t="s">
        <v>1046</v>
      </c>
      <c r="I16" s="13" t="s">
        <v>1047</v>
      </c>
      <c r="J16" s="14"/>
      <c r="K16" s="13" t="s">
        <v>88</v>
      </c>
    </row>
    <row r="17" customFormat="false" ht="15" hidden="false" customHeight="false" outlineLevel="0" collapsed="false">
      <c r="A17" s="13" t="s">
        <v>1048</v>
      </c>
      <c r="B17" s="14" t="s">
        <v>1049</v>
      </c>
      <c r="C17" s="14" t="n">
        <v>0</v>
      </c>
      <c r="D17" s="14" t="n">
        <v>2</v>
      </c>
      <c r="E17" s="14" t="s">
        <v>396</v>
      </c>
      <c r="F17" s="14"/>
      <c r="G17" s="16" t="s">
        <v>1050</v>
      </c>
      <c r="H17" s="16" t="s">
        <v>1051</v>
      </c>
      <c r="I17" s="13" t="s">
        <v>1052</v>
      </c>
      <c r="J17" s="14"/>
      <c r="K17" s="13" t="s">
        <v>88</v>
      </c>
    </row>
    <row r="18" customFormat="false" ht="15" hidden="false" customHeight="false" outlineLevel="0" collapsed="false">
      <c r="A18" s="13" t="s">
        <v>1053</v>
      </c>
      <c r="B18" s="14" t="s">
        <v>1054</v>
      </c>
      <c r="C18" s="14" t="n">
        <v>14</v>
      </c>
      <c r="D18" s="14" t="n">
        <v>0</v>
      </c>
      <c r="E18" s="14" t="s">
        <v>352</v>
      </c>
      <c r="F18" s="14"/>
      <c r="G18" s="16" t="s">
        <v>1055</v>
      </c>
      <c r="H18" s="16" t="s">
        <v>1056</v>
      </c>
      <c r="I18" s="13" t="s">
        <v>999</v>
      </c>
      <c r="J18" s="14"/>
      <c r="K18" s="13" t="s">
        <v>88</v>
      </c>
    </row>
    <row r="19" customFormat="false" ht="15" hidden="false" customHeight="false" outlineLevel="0" collapsed="false">
      <c r="A19" s="13" t="s">
        <v>1057</v>
      </c>
      <c r="B19" s="14" t="s">
        <v>1058</v>
      </c>
      <c r="C19" s="14" t="n">
        <v>16</v>
      </c>
      <c r="D19" s="14" t="n">
        <v>0</v>
      </c>
      <c r="E19" s="14" t="s">
        <v>352</v>
      </c>
      <c r="F19" s="14"/>
      <c r="G19" s="16" t="s">
        <v>1059</v>
      </c>
      <c r="H19" s="16" t="s">
        <v>1060</v>
      </c>
      <c r="I19" s="13" t="s">
        <v>999</v>
      </c>
      <c r="J19" s="14"/>
      <c r="K19" s="13" t="s">
        <v>88</v>
      </c>
    </row>
    <row r="20" customFormat="false" ht="29.85" hidden="false" customHeight="false" outlineLevel="0" collapsed="false">
      <c r="A20" s="13" t="s">
        <v>1061</v>
      </c>
      <c r="B20" s="14" t="s">
        <v>1062</v>
      </c>
      <c r="C20" s="14" t="n">
        <v>18</v>
      </c>
      <c r="D20" s="14" t="n">
        <v>2</v>
      </c>
      <c r="E20" s="14" t="s">
        <v>352</v>
      </c>
      <c r="F20" s="14"/>
      <c r="G20" s="16" t="s">
        <v>1063</v>
      </c>
      <c r="H20" s="16" t="s">
        <v>1064</v>
      </c>
      <c r="I20" s="13" t="s">
        <v>1065</v>
      </c>
      <c r="J20" s="14"/>
      <c r="K20" s="13" t="s">
        <v>88</v>
      </c>
    </row>
    <row r="21" customFormat="false" ht="15" hidden="false" customHeight="false" outlineLevel="0" collapsed="false">
      <c r="A21" s="13" t="s">
        <v>1066</v>
      </c>
      <c r="B21" s="14" t="s">
        <v>1067</v>
      </c>
      <c r="C21" s="14" t="n">
        <v>12</v>
      </c>
      <c r="D21" s="14" t="n">
        <v>0</v>
      </c>
      <c r="E21" s="14" t="s">
        <v>352</v>
      </c>
      <c r="F21" s="14"/>
      <c r="G21" s="16" t="s">
        <v>1068</v>
      </c>
      <c r="H21" s="16" t="s">
        <v>1069</v>
      </c>
      <c r="I21" s="13" t="s">
        <v>1070</v>
      </c>
      <c r="J21" s="14"/>
      <c r="K21" s="13" t="s">
        <v>88</v>
      </c>
    </row>
    <row r="22" customFormat="false" ht="15" hidden="false" customHeight="false" outlineLevel="0" collapsed="false">
      <c r="A22" s="13" t="s">
        <v>1071</v>
      </c>
      <c r="B22" s="13" t="s">
        <v>1072</v>
      </c>
      <c r="C22" s="14" t="n">
        <v>6</v>
      </c>
      <c r="D22" s="14" t="n">
        <v>0</v>
      </c>
      <c r="E22" s="14" t="s">
        <v>352</v>
      </c>
      <c r="F22" s="14"/>
      <c r="G22" s="16" t="s">
        <v>1073</v>
      </c>
      <c r="H22" s="16" t="s">
        <v>1074</v>
      </c>
      <c r="I22" s="13" t="s">
        <v>1075</v>
      </c>
      <c r="J22" s="14"/>
      <c r="K22" s="13" t="s">
        <v>88</v>
      </c>
    </row>
    <row r="23" customFormat="false" ht="15" hidden="false" customHeight="false" outlineLevel="0" collapsed="false">
      <c r="A23" s="13" t="s">
        <v>1076</v>
      </c>
      <c r="B23" s="14" t="s">
        <v>1077</v>
      </c>
      <c r="C23" s="14" t="n">
        <v>55</v>
      </c>
      <c r="D23" s="14" t="n">
        <v>0</v>
      </c>
      <c r="E23" s="14" t="s">
        <v>352</v>
      </c>
      <c r="F23" s="14"/>
      <c r="G23" s="16" t="s">
        <v>1078</v>
      </c>
      <c r="H23" s="16" t="s">
        <v>1079</v>
      </c>
      <c r="I23" s="13" t="s">
        <v>1080</v>
      </c>
      <c r="J23" s="14"/>
      <c r="K23" s="13" t="s">
        <v>88</v>
      </c>
    </row>
    <row r="24" customFormat="false" ht="29.85" hidden="false" customHeight="false" outlineLevel="0" collapsed="false">
      <c r="A24" s="13" t="s">
        <v>1081</v>
      </c>
      <c r="B24" s="14" t="s">
        <v>1082</v>
      </c>
      <c r="C24" s="14" t="n">
        <v>8</v>
      </c>
      <c r="D24" s="14"/>
      <c r="E24" s="14" t="s">
        <v>396</v>
      </c>
      <c r="F24" s="14" t="s">
        <v>352</v>
      </c>
      <c r="G24" s="16" t="s">
        <v>1083</v>
      </c>
      <c r="H24" s="16" t="s">
        <v>1084</v>
      </c>
      <c r="I24" s="14"/>
      <c r="J24" s="14"/>
      <c r="K24" s="13" t="s">
        <v>88</v>
      </c>
    </row>
    <row r="25" customFormat="false" ht="29.85" hidden="false" customHeight="false" outlineLevel="0" collapsed="false">
      <c r="A25" s="13" t="s">
        <v>1085</v>
      </c>
      <c r="B25" s="14" t="s">
        <v>1086</v>
      </c>
      <c r="C25" s="14" t="n">
        <v>12</v>
      </c>
      <c r="D25" s="14"/>
      <c r="E25" s="14" t="s">
        <v>396</v>
      </c>
      <c r="F25" s="14" t="s">
        <v>352</v>
      </c>
      <c r="G25" s="16" t="s">
        <v>1087</v>
      </c>
      <c r="H25" s="16" t="s">
        <v>1088</v>
      </c>
      <c r="I25" s="14"/>
      <c r="J25" s="14"/>
      <c r="K25" s="13" t="s">
        <v>88</v>
      </c>
    </row>
    <row r="26" customFormat="false" ht="29.85" hidden="false" customHeight="false" outlineLevel="0" collapsed="false">
      <c r="A26" s="13" t="s">
        <v>1089</v>
      </c>
      <c r="B26" s="14" t="s">
        <v>1090</v>
      </c>
      <c r="C26" s="14" t="n">
        <v>35</v>
      </c>
      <c r="D26" s="14"/>
      <c r="E26" s="14" t="s">
        <v>396</v>
      </c>
      <c r="F26" s="14" t="s">
        <v>352</v>
      </c>
      <c r="G26" s="16" t="s">
        <v>1091</v>
      </c>
      <c r="H26" s="16" t="s">
        <v>1092</v>
      </c>
      <c r="I26" s="14"/>
      <c r="J26" s="14"/>
      <c r="K26" s="13" t="s">
        <v>88</v>
      </c>
    </row>
    <row r="27" customFormat="false" ht="29.85" hidden="false" customHeight="false" outlineLevel="0" collapsed="false">
      <c r="A27" s="13" t="s">
        <v>1093</v>
      </c>
      <c r="B27" s="14" t="s">
        <v>1094</v>
      </c>
      <c r="C27" s="14" t="n">
        <v>25</v>
      </c>
      <c r="D27" s="14"/>
      <c r="E27" s="14" t="s">
        <v>396</v>
      </c>
      <c r="F27" s="14" t="s">
        <v>352</v>
      </c>
      <c r="G27" s="16" t="s">
        <v>1095</v>
      </c>
      <c r="H27" s="16" t="s">
        <v>1096</v>
      </c>
      <c r="I27" s="14"/>
      <c r="J27" s="14"/>
      <c r="K27" s="13" t="s">
        <v>88</v>
      </c>
    </row>
    <row r="28" customFormat="false" ht="29.85" hidden="false" customHeight="false" outlineLevel="0" collapsed="false">
      <c r="A28" s="13" t="s">
        <v>1097</v>
      </c>
      <c r="B28" s="14" t="s">
        <v>1098</v>
      </c>
      <c r="C28" s="14" t="n">
        <v>50</v>
      </c>
      <c r="D28" s="14"/>
      <c r="E28" s="14" t="s">
        <v>396</v>
      </c>
      <c r="F28" s="14" t="s">
        <v>352</v>
      </c>
      <c r="G28" s="16" t="s">
        <v>1099</v>
      </c>
      <c r="H28" s="16" t="s">
        <v>1100</v>
      </c>
      <c r="I28" s="14"/>
      <c r="J28" s="14"/>
      <c r="K28" s="13" t="s">
        <v>88</v>
      </c>
    </row>
  </sheetData>
  <autoFilter ref="A4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0"/>
  </cols>
  <sheetData>
    <row r="1" customFormat="false" ht="19.4" hidden="false" customHeight="false" outlineLevel="0" collapsed="false">
      <c r="A1" s="9" t="s">
        <v>1101</v>
      </c>
    </row>
    <row r="2" customFormat="false" ht="15" hidden="false" customHeight="false" outlineLevel="0" collapsed="false">
      <c r="A2" s="10" t="s">
        <v>1102</v>
      </c>
    </row>
    <row r="4" customFormat="false" ht="30" hidden="false" customHeight="true" outlineLevel="0" collapsed="false">
      <c r="A4" s="12" t="s">
        <v>328</v>
      </c>
      <c r="B4" s="11" t="s">
        <v>70</v>
      </c>
      <c r="C4" s="12" t="s">
        <v>329</v>
      </c>
      <c r="D4" s="12" t="s">
        <v>276</v>
      </c>
      <c r="E4" s="12" t="s">
        <v>652</v>
      </c>
      <c r="F4" s="12" t="s">
        <v>196</v>
      </c>
      <c r="G4" s="12" t="s">
        <v>280</v>
      </c>
      <c r="H4" s="12" t="s">
        <v>653</v>
      </c>
      <c r="I4" s="12" t="s">
        <v>1103</v>
      </c>
      <c r="J4" s="12" t="s">
        <v>1104</v>
      </c>
      <c r="K4" s="12" t="s">
        <v>1105</v>
      </c>
      <c r="L4" s="12" t="s">
        <v>198</v>
      </c>
      <c r="M4" s="12" t="s">
        <v>281</v>
      </c>
      <c r="N4" s="12" t="s">
        <v>83</v>
      </c>
    </row>
    <row r="5" customFormat="false" ht="29.85" hidden="false" customHeight="false" outlineLevel="0" collapsed="false">
      <c r="A5" s="13" t="s">
        <v>1106</v>
      </c>
      <c r="B5" s="13" t="s">
        <v>1107</v>
      </c>
      <c r="C5" s="13" t="s">
        <v>1106</v>
      </c>
      <c r="D5" s="14" t="s">
        <v>1108</v>
      </c>
      <c r="E5" s="14"/>
      <c r="F5" s="16" t="s">
        <v>1109</v>
      </c>
      <c r="G5" s="16" t="s">
        <v>1110</v>
      </c>
      <c r="H5" s="16" t="s">
        <v>1111</v>
      </c>
      <c r="I5" s="14"/>
      <c r="J5" s="14"/>
      <c r="K5" s="14"/>
      <c r="L5" s="13" t="s">
        <v>356</v>
      </c>
      <c r="M5" s="14"/>
      <c r="N5" s="13" t="s">
        <v>88</v>
      </c>
    </row>
    <row r="6" customFormat="false" ht="29.85" hidden="false" customHeight="false" outlineLevel="0" collapsed="false">
      <c r="A6" s="13" t="s">
        <v>1106</v>
      </c>
      <c r="B6" s="13" t="s">
        <v>1112</v>
      </c>
      <c r="C6" s="13" t="s">
        <v>1106</v>
      </c>
      <c r="D6" s="14" t="s">
        <v>1113</v>
      </c>
      <c r="E6" s="14"/>
      <c r="F6" s="16" t="s">
        <v>1114</v>
      </c>
      <c r="G6" s="16" t="s">
        <v>1115</v>
      </c>
      <c r="H6" s="16" t="s">
        <v>1116</v>
      </c>
      <c r="I6" s="14"/>
      <c r="J6" s="14"/>
      <c r="K6" s="14"/>
      <c r="L6" s="13" t="s">
        <v>356</v>
      </c>
      <c r="M6" s="14"/>
      <c r="N6" s="13" t="s">
        <v>88</v>
      </c>
    </row>
    <row r="7" customFormat="false" ht="15" hidden="false" customHeight="false" outlineLevel="0" collapsed="false">
      <c r="A7" s="13" t="s">
        <v>1106</v>
      </c>
      <c r="B7" s="13" t="s">
        <v>1117</v>
      </c>
      <c r="C7" s="13" t="s">
        <v>1106</v>
      </c>
      <c r="D7" s="14" t="s">
        <v>1118</v>
      </c>
      <c r="E7" s="14"/>
      <c r="F7" s="16" t="s">
        <v>1119</v>
      </c>
      <c r="G7" s="16" t="s">
        <v>1120</v>
      </c>
      <c r="H7" s="16" t="s">
        <v>1121</v>
      </c>
      <c r="I7" s="14"/>
      <c r="J7" s="14"/>
      <c r="K7" s="14"/>
      <c r="L7" s="13" t="s">
        <v>356</v>
      </c>
      <c r="M7" s="14"/>
      <c r="N7" s="13" t="s">
        <v>88</v>
      </c>
    </row>
    <row r="8" customFormat="false" ht="15" hidden="false" customHeight="false" outlineLevel="0" collapsed="false">
      <c r="A8" s="13" t="s">
        <v>1106</v>
      </c>
      <c r="B8" s="13" t="s">
        <v>1122</v>
      </c>
      <c r="C8" s="13" t="s">
        <v>1106</v>
      </c>
      <c r="D8" s="14" t="s">
        <v>1123</v>
      </c>
      <c r="E8" s="14"/>
      <c r="F8" s="16" t="s">
        <v>1124</v>
      </c>
      <c r="G8" s="16" t="s">
        <v>1125</v>
      </c>
      <c r="H8" s="16" t="s">
        <v>1126</v>
      </c>
      <c r="I8" s="14"/>
      <c r="J8" s="14"/>
      <c r="K8" s="14"/>
      <c r="L8" s="13" t="s">
        <v>367</v>
      </c>
      <c r="M8" s="14"/>
      <c r="N8" s="13" t="s">
        <v>88</v>
      </c>
    </row>
    <row r="9" customFormat="false" ht="29.85" hidden="false" customHeight="false" outlineLevel="0" collapsed="false">
      <c r="A9" s="13" t="s">
        <v>1106</v>
      </c>
      <c r="B9" s="13" t="s">
        <v>1127</v>
      </c>
      <c r="C9" s="13" t="s">
        <v>1106</v>
      </c>
      <c r="D9" s="14" t="s">
        <v>1128</v>
      </c>
      <c r="E9" s="14"/>
      <c r="F9" s="16" t="s">
        <v>1129</v>
      </c>
      <c r="G9" s="16" t="s">
        <v>1130</v>
      </c>
      <c r="H9" s="16" t="s">
        <v>1131</v>
      </c>
      <c r="I9" s="14"/>
      <c r="J9" s="14"/>
      <c r="K9" s="14"/>
      <c r="L9" s="13" t="s">
        <v>367</v>
      </c>
      <c r="M9" s="14"/>
      <c r="N9" s="13" t="s">
        <v>88</v>
      </c>
    </row>
    <row r="10" customFormat="false" ht="29.85" hidden="false" customHeight="false" outlineLevel="0" collapsed="false">
      <c r="A10" s="13" t="s">
        <v>1106</v>
      </c>
      <c r="B10" s="13" t="s">
        <v>1132</v>
      </c>
      <c r="C10" s="13" t="s">
        <v>1106</v>
      </c>
      <c r="D10" s="14" t="s">
        <v>1133</v>
      </c>
      <c r="E10" s="14"/>
      <c r="F10" s="16" t="s">
        <v>1134</v>
      </c>
      <c r="G10" s="16" t="s">
        <v>1135</v>
      </c>
      <c r="H10" s="16" t="s">
        <v>1136</v>
      </c>
      <c r="I10" s="14"/>
      <c r="J10" s="14"/>
      <c r="K10" s="14"/>
      <c r="L10" s="13" t="s">
        <v>356</v>
      </c>
      <c r="M10" s="14"/>
      <c r="N10" s="13" t="s">
        <v>88</v>
      </c>
    </row>
    <row r="11" customFormat="false" ht="15" hidden="false" customHeight="false" outlineLevel="0" collapsed="false">
      <c r="A11" s="13" t="s">
        <v>1106</v>
      </c>
      <c r="B11" s="13" t="s">
        <v>1137</v>
      </c>
      <c r="C11" s="13" t="s">
        <v>1106</v>
      </c>
      <c r="D11" s="14" t="s">
        <v>1138</v>
      </c>
      <c r="E11" s="14"/>
      <c r="F11" s="16" t="s">
        <v>1139</v>
      </c>
      <c r="G11" s="16" t="s">
        <v>1140</v>
      </c>
      <c r="H11" s="16" t="s">
        <v>1141</v>
      </c>
      <c r="I11" s="14"/>
      <c r="J11" s="14"/>
      <c r="K11" s="14"/>
      <c r="L11" s="13" t="s">
        <v>356</v>
      </c>
      <c r="M11" s="14"/>
      <c r="N11" s="13" t="s">
        <v>88</v>
      </c>
    </row>
    <row r="12" customFormat="false" ht="29.85" hidden="false" customHeight="false" outlineLevel="0" collapsed="false">
      <c r="A12" s="13" t="s">
        <v>1106</v>
      </c>
      <c r="B12" s="13" t="s">
        <v>1142</v>
      </c>
      <c r="C12" s="13" t="s">
        <v>1106</v>
      </c>
      <c r="D12" s="14" t="s">
        <v>1143</v>
      </c>
      <c r="E12" s="14"/>
      <c r="F12" s="16" t="s">
        <v>1144</v>
      </c>
      <c r="G12" s="16" t="s">
        <v>1145</v>
      </c>
      <c r="H12" s="16" t="s">
        <v>1146</v>
      </c>
      <c r="I12" s="14"/>
      <c r="J12" s="14"/>
      <c r="K12" s="14"/>
      <c r="L12" s="13" t="s">
        <v>367</v>
      </c>
      <c r="M12" s="14"/>
      <c r="N12" s="13" t="s">
        <v>88</v>
      </c>
    </row>
    <row r="13" customFormat="false" ht="15" hidden="false" customHeight="false" outlineLevel="0" collapsed="false">
      <c r="A13" s="13" t="s">
        <v>1106</v>
      </c>
      <c r="B13" s="13" t="s">
        <v>1147</v>
      </c>
      <c r="C13" s="13" t="s">
        <v>1106</v>
      </c>
      <c r="D13" s="14" t="s">
        <v>1148</v>
      </c>
      <c r="E13" s="14"/>
      <c r="F13" s="16" t="s">
        <v>1149</v>
      </c>
      <c r="G13" s="16" t="s">
        <v>1150</v>
      </c>
      <c r="H13" s="16" t="s">
        <v>1151</v>
      </c>
      <c r="I13" s="14"/>
      <c r="J13" s="14"/>
      <c r="K13" s="14"/>
      <c r="L13" s="13" t="s">
        <v>286</v>
      </c>
      <c r="M13" s="13" t="s">
        <v>1152</v>
      </c>
      <c r="N13" s="13" t="s">
        <v>88</v>
      </c>
    </row>
    <row r="14" customFormat="false" ht="15" hidden="false" customHeight="false" outlineLevel="0" collapsed="false">
      <c r="A14" s="13" t="s">
        <v>1106</v>
      </c>
      <c r="B14" s="13" t="s">
        <v>1153</v>
      </c>
      <c r="C14" s="13" t="s">
        <v>1106</v>
      </c>
      <c r="D14" s="14" t="s">
        <v>1154</v>
      </c>
      <c r="E14" s="14"/>
      <c r="F14" s="16" t="s">
        <v>1155</v>
      </c>
      <c r="G14" s="16" t="s">
        <v>1156</v>
      </c>
      <c r="H14" s="16" t="s">
        <v>1157</v>
      </c>
      <c r="I14" s="14"/>
      <c r="J14" s="14"/>
      <c r="K14" s="14"/>
      <c r="L14" s="13" t="s">
        <v>286</v>
      </c>
      <c r="M14" s="13" t="s">
        <v>1152</v>
      </c>
      <c r="N14" s="13" t="s">
        <v>88</v>
      </c>
    </row>
    <row r="15" customFormat="false" ht="15" hidden="false" customHeight="false" outlineLevel="0" collapsed="false">
      <c r="A15" s="13" t="s">
        <v>1106</v>
      </c>
      <c r="B15" s="13" t="s">
        <v>1158</v>
      </c>
      <c r="C15" s="13" t="s">
        <v>1106</v>
      </c>
      <c r="D15" s="14" t="s">
        <v>1159</v>
      </c>
      <c r="E15" s="14"/>
      <c r="F15" s="16" t="s">
        <v>1160</v>
      </c>
      <c r="G15" s="16" t="s">
        <v>1161</v>
      </c>
      <c r="H15" s="16" t="s">
        <v>1162</v>
      </c>
      <c r="I15" s="14"/>
      <c r="J15" s="14"/>
      <c r="K15" s="14"/>
      <c r="L15" s="13" t="s">
        <v>291</v>
      </c>
      <c r="M15" s="13" t="s">
        <v>1152</v>
      </c>
      <c r="N15" s="13" t="s">
        <v>88</v>
      </c>
    </row>
    <row r="16" customFormat="false" ht="15" hidden="false" customHeight="false" outlineLevel="0" collapsed="false">
      <c r="A16" s="13" t="s">
        <v>1106</v>
      </c>
      <c r="B16" s="13" t="s">
        <v>1163</v>
      </c>
      <c r="C16" s="13" t="s">
        <v>1106</v>
      </c>
      <c r="D16" s="14" t="s">
        <v>1164</v>
      </c>
      <c r="E16" s="14"/>
      <c r="F16" s="16" t="s">
        <v>1165</v>
      </c>
      <c r="G16" s="16" t="s">
        <v>1166</v>
      </c>
      <c r="H16" s="16" t="s">
        <v>1167</v>
      </c>
      <c r="I16" s="14"/>
      <c r="J16" s="14"/>
      <c r="K16" s="14"/>
      <c r="L16" s="13" t="s">
        <v>300</v>
      </c>
      <c r="M16" s="13" t="s">
        <v>1152</v>
      </c>
      <c r="N16" s="13" t="s">
        <v>88</v>
      </c>
    </row>
    <row r="17" customFormat="false" ht="29.85" hidden="false" customHeight="false" outlineLevel="0" collapsed="false">
      <c r="A17" s="13" t="s">
        <v>1168</v>
      </c>
      <c r="B17" s="13" t="s">
        <v>1169</v>
      </c>
      <c r="C17" s="13" t="s">
        <v>1170</v>
      </c>
      <c r="D17" s="14" t="s">
        <v>1171</v>
      </c>
      <c r="E17" s="14"/>
      <c r="F17" s="16" t="s">
        <v>1172</v>
      </c>
      <c r="G17" s="16" t="s">
        <v>1173</v>
      </c>
      <c r="H17" s="16" t="s">
        <v>1174</v>
      </c>
      <c r="I17" s="13" t="s">
        <v>1175</v>
      </c>
      <c r="J17" s="14" t="n">
        <v>90</v>
      </c>
      <c r="K17" s="14"/>
      <c r="L17" s="14"/>
      <c r="M17" s="14"/>
      <c r="N17" s="13" t="s">
        <v>1176</v>
      </c>
    </row>
    <row r="18" customFormat="false" ht="15" hidden="false" customHeight="false" outlineLevel="0" collapsed="false">
      <c r="A18" s="13" t="s">
        <v>1168</v>
      </c>
      <c r="B18" s="13" t="s">
        <v>1177</v>
      </c>
      <c r="C18" s="13" t="s">
        <v>1170</v>
      </c>
      <c r="D18" s="14" t="s">
        <v>1178</v>
      </c>
      <c r="E18" s="14"/>
      <c r="F18" s="16" t="s">
        <v>1179</v>
      </c>
      <c r="G18" s="16" t="s">
        <v>1180</v>
      </c>
      <c r="H18" s="16" t="s">
        <v>1181</v>
      </c>
      <c r="I18" s="13" t="s">
        <v>1182</v>
      </c>
      <c r="J18" s="14" t="n">
        <v>40</v>
      </c>
      <c r="K18" s="14"/>
      <c r="L18" s="14"/>
      <c r="M18" s="14"/>
      <c r="N18" s="13" t="s">
        <v>1176</v>
      </c>
    </row>
    <row r="19" customFormat="false" ht="15" hidden="false" customHeight="false" outlineLevel="0" collapsed="false">
      <c r="A19" s="13" t="s">
        <v>1168</v>
      </c>
      <c r="B19" s="13" t="s">
        <v>1183</v>
      </c>
      <c r="C19" s="13" t="s">
        <v>1170</v>
      </c>
      <c r="D19" s="14" t="s">
        <v>1184</v>
      </c>
      <c r="E19" s="14"/>
      <c r="F19" s="16" t="s">
        <v>1185</v>
      </c>
      <c r="G19" s="16" t="s">
        <v>1186</v>
      </c>
      <c r="H19" s="16" t="s">
        <v>1187</v>
      </c>
      <c r="I19" s="13" t="s">
        <v>1188</v>
      </c>
      <c r="J19" s="14" t="n">
        <v>60</v>
      </c>
      <c r="K19" s="14"/>
      <c r="L19" s="14"/>
      <c r="M19" s="14"/>
      <c r="N19" s="13" t="s">
        <v>1176</v>
      </c>
    </row>
    <row r="20" customFormat="false" ht="29.85" hidden="false" customHeight="false" outlineLevel="0" collapsed="false">
      <c r="A20" s="13" t="s">
        <v>1168</v>
      </c>
      <c r="B20" s="13" t="s">
        <v>1189</v>
      </c>
      <c r="C20" s="13" t="s">
        <v>1170</v>
      </c>
      <c r="D20" s="14" t="s">
        <v>1190</v>
      </c>
      <c r="E20" s="14"/>
      <c r="F20" s="16" t="s">
        <v>1191</v>
      </c>
      <c r="G20" s="16" t="s">
        <v>1192</v>
      </c>
      <c r="H20" s="16" t="s">
        <v>1193</v>
      </c>
      <c r="I20" s="13" t="s">
        <v>1194</v>
      </c>
      <c r="J20" s="14" t="n">
        <v>30</v>
      </c>
      <c r="K20" s="14"/>
      <c r="L20" s="14"/>
      <c r="M20" s="14"/>
      <c r="N20" s="13" t="s">
        <v>1176</v>
      </c>
    </row>
    <row r="21" customFormat="false" ht="15" hidden="false" customHeight="false" outlineLevel="0" collapsed="false">
      <c r="A21" s="13" t="s">
        <v>1168</v>
      </c>
      <c r="B21" s="13" t="s">
        <v>1195</v>
      </c>
      <c r="C21" s="13" t="s">
        <v>1170</v>
      </c>
      <c r="D21" s="14" t="s">
        <v>1196</v>
      </c>
      <c r="E21" s="14"/>
      <c r="F21" s="16" t="s">
        <v>1197</v>
      </c>
      <c r="G21" s="16" t="s">
        <v>1198</v>
      </c>
      <c r="H21" s="16" t="s">
        <v>1199</v>
      </c>
      <c r="I21" s="13" t="s">
        <v>1175</v>
      </c>
      <c r="J21" s="14" t="n">
        <v>50</v>
      </c>
      <c r="K21" s="14"/>
      <c r="L21" s="14"/>
      <c r="M21" s="14"/>
      <c r="N21" s="13" t="s">
        <v>1176</v>
      </c>
    </row>
    <row r="22" customFormat="false" ht="29.85" hidden="false" customHeight="false" outlineLevel="0" collapsed="false">
      <c r="A22" s="13" t="s">
        <v>1168</v>
      </c>
      <c r="B22" s="13" t="s">
        <v>1200</v>
      </c>
      <c r="C22" s="13" t="s">
        <v>1170</v>
      </c>
      <c r="D22" s="14" t="s">
        <v>1201</v>
      </c>
      <c r="E22" s="14"/>
      <c r="F22" s="16" t="s">
        <v>1202</v>
      </c>
      <c r="G22" s="16" t="s">
        <v>1203</v>
      </c>
      <c r="H22" s="16" t="s">
        <v>1204</v>
      </c>
      <c r="I22" s="13" t="s">
        <v>1188</v>
      </c>
      <c r="J22" s="14" t="n">
        <v>20</v>
      </c>
      <c r="K22" s="14"/>
      <c r="L22" s="14"/>
      <c r="M22" s="14"/>
      <c r="N22" s="13" t="s">
        <v>1176</v>
      </c>
    </row>
    <row r="23" customFormat="false" ht="29.85" hidden="false" customHeight="false" outlineLevel="0" collapsed="false">
      <c r="A23" s="13" t="s">
        <v>1168</v>
      </c>
      <c r="B23" s="13" t="s">
        <v>1205</v>
      </c>
      <c r="C23" s="13" t="s">
        <v>1170</v>
      </c>
      <c r="D23" s="14" t="s">
        <v>1206</v>
      </c>
      <c r="E23" s="14"/>
      <c r="F23" s="16" t="s">
        <v>1207</v>
      </c>
      <c r="G23" s="16" t="s">
        <v>1208</v>
      </c>
      <c r="H23" s="16" t="s">
        <v>1209</v>
      </c>
      <c r="I23" s="13" t="s">
        <v>1188</v>
      </c>
      <c r="J23" s="14" t="n">
        <v>80</v>
      </c>
      <c r="K23" s="14"/>
      <c r="L23" s="14"/>
      <c r="M23" s="14"/>
      <c r="N23" s="13" t="s">
        <v>1176</v>
      </c>
    </row>
    <row r="24" customFormat="false" ht="15" hidden="false" customHeight="false" outlineLevel="0" collapsed="false">
      <c r="A24" s="13" t="s">
        <v>1168</v>
      </c>
      <c r="B24" s="13" t="s">
        <v>1210</v>
      </c>
      <c r="C24" s="13" t="s">
        <v>1170</v>
      </c>
      <c r="D24" s="14" t="s">
        <v>1211</v>
      </c>
      <c r="E24" s="14"/>
      <c r="F24" s="16" t="s">
        <v>1212</v>
      </c>
      <c r="G24" s="16" t="s">
        <v>1213</v>
      </c>
      <c r="H24" s="16" t="s">
        <v>1214</v>
      </c>
      <c r="I24" s="13" t="s">
        <v>1215</v>
      </c>
      <c r="J24" s="14" t="n">
        <v>10</v>
      </c>
      <c r="K24" s="14"/>
      <c r="L24" s="14"/>
      <c r="M24" s="14"/>
      <c r="N24" s="13" t="s">
        <v>1176</v>
      </c>
    </row>
    <row r="25" customFormat="false" ht="29.85" hidden="false" customHeight="false" outlineLevel="0" collapsed="false">
      <c r="A25" s="13" t="s">
        <v>1168</v>
      </c>
      <c r="B25" s="13" t="s">
        <v>1216</v>
      </c>
      <c r="C25" s="13" t="s">
        <v>1170</v>
      </c>
      <c r="D25" s="14" t="s">
        <v>1217</v>
      </c>
      <c r="E25" s="14"/>
      <c r="F25" s="16" t="s">
        <v>1218</v>
      </c>
      <c r="G25" s="16" t="s">
        <v>1219</v>
      </c>
      <c r="H25" s="16" t="s">
        <v>1220</v>
      </c>
      <c r="I25" s="14"/>
      <c r="J25" s="14" t="n">
        <v>95</v>
      </c>
      <c r="K25" s="14" t="s">
        <v>352</v>
      </c>
      <c r="L25" s="14"/>
      <c r="M25" s="14"/>
      <c r="N25" s="13" t="s">
        <v>1176</v>
      </c>
    </row>
    <row r="26" customFormat="false" ht="29.85" hidden="false" customHeight="false" outlineLevel="0" collapsed="false">
      <c r="A26" s="13" t="s">
        <v>1168</v>
      </c>
      <c r="B26" s="13" t="s">
        <v>1221</v>
      </c>
      <c r="C26" s="13" t="s">
        <v>1170</v>
      </c>
      <c r="D26" s="14" t="s">
        <v>1222</v>
      </c>
      <c r="E26" s="14"/>
      <c r="F26" s="16" t="s">
        <v>1223</v>
      </c>
      <c r="G26" s="16" t="s">
        <v>1224</v>
      </c>
      <c r="H26" s="16" t="s">
        <v>1225</v>
      </c>
      <c r="I26" s="14"/>
      <c r="J26" s="14" t="n">
        <v>85</v>
      </c>
      <c r="K26" s="14" t="s">
        <v>352</v>
      </c>
      <c r="L26" s="14"/>
      <c r="M26" s="14"/>
      <c r="N26" s="13" t="s">
        <v>1176</v>
      </c>
    </row>
    <row r="27" customFormat="false" ht="29.85" hidden="false" customHeight="false" outlineLevel="0" collapsed="false">
      <c r="A27" s="13" t="s">
        <v>1168</v>
      </c>
      <c r="B27" s="13" t="s">
        <v>1226</v>
      </c>
      <c r="C27" s="13" t="s">
        <v>1170</v>
      </c>
      <c r="D27" s="14" t="s">
        <v>1227</v>
      </c>
      <c r="E27" s="14"/>
      <c r="F27" s="16" t="s">
        <v>1228</v>
      </c>
      <c r="G27" s="16" t="s">
        <v>1229</v>
      </c>
      <c r="H27" s="16" t="s">
        <v>1230</v>
      </c>
      <c r="I27" s="14"/>
      <c r="J27" s="14" t="n">
        <v>70</v>
      </c>
      <c r="K27" s="14" t="s">
        <v>352</v>
      </c>
      <c r="L27" s="14"/>
      <c r="M27" s="14"/>
      <c r="N27" s="13" t="s">
        <v>1176</v>
      </c>
    </row>
    <row r="28" customFormat="false" ht="44" hidden="false" customHeight="false" outlineLevel="0" collapsed="false">
      <c r="A28" s="13" t="s">
        <v>1168</v>
      </c>
      <c r="B28" s="13" t="s">
        <v>1231</v>
      </c>
      <c r="C28" s="13" t="s">
        <v>1170</v>
      </c>
      <c r="D28" s="14" t="s">
        <v>1232</v>
      </c>
      <c r="E28" s="14"/>
      <c r="F28" s="16" t="s">
        <v>1233</v>
      </c>
      <c r="G28" s="16" t="s">
        <v>1234</v>
      </c>
      <c r="H28" s="16" t="s">
        <v>1235</v>
      </c>
      <c r="I28" s="13" t="s">
        <v>1188</v>
      </c>
      <c r="J28" s="14" t="n">
        <v>92</v>
      </c>
      <c r="K28" s="14"/>
      <c r="L28" s="14"/>
      <c r="M28" s="14"/>
      <c r="N28" s="13" t="s">
        <v>1176</v>
      </c>
    </row>
    <row r="29" customFormat="false" ht="58.2" hidden="false" customHeight="false" outlineLevel="0" collapsed="false">
      <c r="A29" s="13" t="s">
        <v>1168</v>
      </c>
      <c r="B29" s="13" t="s">
        <v>1236</v>
      </c>
      <c r="C29" s="13" t="s">
        <v>1170</v>
      </c>
      <c r="D29" s="14" t="s">
        <v>1237</v>
      </c>
      <c r="E29" s="14"/>
      <c r="F29" s="16" t="s">
        <v>1238</v>
      </c>
      <c r="G29" s="16" t="s">
        <v>1239</v>
      </c>
      <c r="H29" s="16" t="s">
        <v>1240</v>
      </c>
      <c r="I29" s="13" t="s">
        <v>1241</v>
      </c>
      <c r="J29" s="14" t="n">
        <v>99</v>
      </c>
      <c r="K29" s="14"/>
      <c r="L29" s="14"/>
      <c r="M29" s="14"/>
      <c r="N29" s="13" t="s">
        <v>1176</v>
      </c>
    </row>
    <row r="30" customFormat="false" ht="44" hidden="false" customHeight="false" outlineLevel="0" collapsed="false">
      <c r="A30" s="13" t="s">
        <v>1168</v>
      </c>
      <c r="B30" s="13" t="s">
        <v>1242</v>
      </c>
      <c r="C30" s="13" t="s">
        <v>1168</v>
      </c>
      <c r="D30" s="14" t="s">
        <v>1243</v>
      </c>
      <c r="E30" s="14" t="s">
        <v>1244</v>
      </c>
      <c r="F30" s="16" t="s">
        <v>1245</v>
      </c>
      <c r="G30" s="16" t="s">
        <v>1246</v>
      </c>
      <c r="H30" s="16" t="s">
        <v>1247</v>
      </c>
      <c r="I30" s="14"/>
      <c r="J30" s="14"/>
      <c r="K30" s="14"/>
      <c r="L30" s="14"/>
      <c r="M30" s="14"/>
      <c r="N30" s="13" t="s">
        <v>1176</v>
      </c>
    </row>
    <row r="31" customFormat="false" ht="29.85" hidden="false" customHeight="false" outlineLevel="0" collapsed="false">
      <c r="A31" s="13" t="s">
        <v>1168</v>
      </c>
      <c r="B31" s="13" t="s">
        <v>1248</v>
      </c>
      <c r="C31" s="13" t="s">
        <v>1168</v>
      </c>
      <c r="D31" s="14" t="s">
        <v>1249</v>
      </c>
      <c r="E31" s="14" t="s">
        <v>1250</v>
      </c>
      <c r="F31" s="16" t="s">
        <v>1251</v>
      </c>
      <c r="G31" s="16" t="s">
        <v>1252</v>
      </c>
      <c r="H31" s="16" t="s">
        <v>1253</v>
      </c>
      <c r="I31" s="14"/>
      <c r="J31" s="14"/>
      <c r="K31" s="14"/>
      <c r="L31" s="14"/>
      <c r="M31" s="14"/>
      <c r="N31" s="13" t="s">
        <v>1176</v>
      </c>
    </row>
    <row r="32" customFormat="false" ht="29.85" hidden="false" customHeight="false" outlineLevel="0" collapsed="false">
      <c r="A32" s="13" t="s">
        <v>1168</v>
      </c>
      <c r="B32" s="13" t="s">
        <v>1254</v>
      </c>
      <c r="C32" s="13" t="s">
        <v>1168</v>
      </c>
      <c r="D32" s="14" t="s">
        <v>1255</v>
      </c>
      <c r="E32" s="14" t="s">
        <v>1256</v>
      </c>
      <c r="F32" s="16" t="s">
        <v>1257</v>
      </c>
      <c r="G32" s="16" t="s">
        <v>1258</v>
      </c>
      <c r="H32" s="16" t="s">
        <v>1259</v>
      </c>
      <c r="I32" s="14"/>
      <c r="J32" s="14"/>
      <c r="K32" s="14"/>
      <c r="L32" s="14"/>
      <c r="M32" s="14"/>
      <c r="N32" s="13" t="s">
        <v>1176</v>
      </c>
    </row>
    <row r="33" customFormat="false" ht="44" hidden="false" customHeight="false" outlineLevel="0" collapsed="false">
      <c r="A33" s="13" t="s">
        <v>1168</v>
      </c>
      <c r="B33" s="13" t="s">
        <v>1260</v>
      </c>
      <c r="C33" s="13" t="s">
        <v>1168</v>
      </c>
      <c r="D33" s="14" t="s">
        <v>1261</v>
      </c>
      <c r="E33" s="14" t="s">
        <v>1262</v>
      </c>
      <c r="F33" s="16" t="s">
        <v>1263</v>
      </c>
      <c r="G33" s="16" t="s">
        <v>1264</v>
      </c>
      <c r="H33" s="16" t="s">
        <v>1265</v>
      </c>
      <c r="I33" s="14"/>
      <c r="J33" s="14"/>
      <c r="K33" s="14"/>
      <c r="L33" s="14"/>
      <c r="M33" s="14"/>
      <c r="N33" s="13" t="s">
        <v>1176</v>
      </c>
    </row>
    <row r="34" customFormat="false" ht="29.85" hidden="false" customHeight="false" outlineLevel="0" collapsed="false">
      <c r="A34" s="13" t="s">
        <v>1168</v>
      </c>
      <c r="B34" s="13" t="s">
        <v>1266</v>
      </c>
      <c r="C34" s="13" t="s">
        <v>1170</v>
      </c>
      <c r="D34" s="14" t="s">
        <v>1267</v>
      </c>
      <c r="E34" s="14"/>
      <c r="F34" s="16" t="s">
        <v>1268</v>
      </c>
      <c r="G34" s="16" t="s">
        <v>1269</v>
      </c>
      <c r="H34" s="16" t="s">
        <v>1270</v>
      </c>
      <c r="I34" s="13" t="s">
        <v>1215</v>
      </c>
      <c r="J34" s="14" t="n">
        <v>70</v>
      </c>
      <c r="K34" s="14"/>
      <c r="L34" s="14"/>
      <c r="M34" s="13" t="s">
        <v>862</v>
      </c>
      <c r="N34" s="13" t="s">
        <v>863</v>
      </c>
    </row>
    <row r="35" customFormat="false" ht="15" hidden="false" customHeight="false" outlineLevel="0" collapsed="false">
      <c r="A35" s="13" t="s">
        <v>1168</v>
      </c>
      <c r="B35" s="13" t="s">
        <v>1271</v>
      </c>
      <c r="C35" s="13" t="s">
        <v>1170</v>
      </c>
      <c r="D35" s="14" t="s">
        <v>1272</v>
      </c>
      <c r="E35" s="14"/>
      <c r="F35" s="16" t="s">
        <v>1273</v>
      </c>
      <c r="G35" s="16" t="s">
        <v>1274</v>
      </c>
      <c r="H35" s="16" t="s">
        <v>1275</v>
      </c>
      <c r="I35" s="13" t="s">
        <v>1276</v>
      </c>
      <c r="J35" s="14" t="n">
        <v>65</v>
      </c>
      <c r="K35" s="14"/>
      <c r="L35" s="14"/>
      <c r="M35" s="13" t="s">
        <v>862</v>
      </c>
      <c r="N35" s="13" t="s">
        <v>863</v>
      </c>
    </row>
    <row r="36" customFormat="false" ht="15" hidden="false" customHeight="false" outlineLevel="0" collapsed="false">
      <c r="A36" s="13" t="s">
        <v>1168</v>
      </c>
      <c r="B36" s="13" t="s">
        <v>1277</v>
      </c>
      <c r="C36" s="13" t="s">
        <v>1170</v>
      </c>
      <c r="D36" s="14" t="s">
        <v>1278</v>
      </c>
      <c r="E36" s="14"/>
      <c r="F36" s="16" t="s">
        <v>1279</v>
      </c>
      <c r="G36" s="16" t="s">
        <v>1280</v>
      </c>
      <c r="H36" s="16" t="s">
        <v>1281</v>
      </c>
      <c r="I36" s="13" t="s">
        <v>1282</v>
      </c>
      <c r="J36" s="14" t="n">
        <v>55</v>
      </c>
      <c r="K36" s="14"/>
      <c r="L36" s="14"/>
      <c r="M36" s="13" t="s">
        <v>862</v>
      </c>
      <c r="N36" s="13" t="s">
        <v>863</v>
      </c>
    </row>
  </sheetData>
  <autoFilter ref="A4:N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6"/>
    <col collapsed="false" customWidth="true" hidden="false" outlineLevel="0" max="11" min="11" style="0" width="36"/>
    <col collapsed="false" customWidth="true" hidden="false" outlineLevel="0" max="12" min="12" style="0" width="56"/>
    <col collapsed="false" customWidth="true" hidden="false" outlineLevel="0" max="14" min="13" style="0" width="8"/>
    <col collapsed="false" customWidth="true" hidden="false" outlineLevel="0" max="15" min="15" style="0" width="10"/>
  </cols>
  <sheetData>
    <row r="1" customFormat="false" ht="19.4" hidden="false" customHeight="false" outlineLevel="0" collapsed="false">
      <c r="A1" s="9" t="s">
        <v>1283</v>
      </c>
    </row>
    <row r="2" customFormat="false" ht="15" hidden="false" customHeight="false" outlineLevel="0" collapsed="false">
      <c r="A2" s="10" t="s">
        <v>1284</v>
      </c>
    </row>
    <row r="4" customFormat="false" ht="30" hidden="false" customHeight="true" outlineLevel="0" collapsed="false">
      <c r="A4" s="11" t="s">
        <v>70</v>
      </c>
      <c r="B4" s="12" t="s">
        <v>651</v>
      </c>
      <c r="C4" s="12" t="s">
        <v>71</v>
      </c>
      <c r="D4" s="12" t="s">
        <v>1285</v>
      </c>
      <c r="E4" s="12" t="s">
        <v>276</v>
      </c>
      <c r="F4" s="12" t="s">
        <v>196</v>
      </c>
      <c r="G4" s="12" t="s">
        <v>280</v>
      </c>
      <c r="H4" s="12" t="s">
        <v>656</v>
      </c>
      <c r="I4" s="12" t="s">
        <v>994</v>
      </c>
      <c r="J4" s="12" t="s">
        <v>658</v>
      </c>
      <c r="K4" s="12" t="s">
        <v>653</v>
      </c>
      <c r="L4" s="12" t="s">
        <v>1286</v>
      </c>
      <c r="M4" s="12" t="s">
        <v>661</v>
      </c>
      <c r="N4" s="12" t="s">
        <v>281</v>
      </c>
      <c r="O4" s="12" t="s">
        <v>83</v>
      </c>
    </row>
    <row r="5" customFormat="false" ht="29.85" hidden="false" customHeight="false" outlineLevel="0" collapsed="false">
      <c r="A5" s="13" t="s">
        <v>1287</v>
      </c>
      <c r="B5" s="13" t="s">
        <v>1288</v>
      </c>
      <c r="C5" s="14" t="s">
        <v>1289</v>
      </c>
      <c r="D5" s="14" t="s">
        <v>1290</v>
      </c>
      <c r="E5" s="14" t="s">
        <v>1291</v>
      </c>
      <c r="F5" s="16" t="s">
        <v>1292</v>
      </c>
      <c r="G5" s="16" t="s">
        <v>1293</v>
      </c>
      <c r="H5" s="14" t="n">
        <v>18</v>
      </c>
      <c r="I5" s="14"/>
      <c r="J5" s="14"/>
      <c r="K5" s="16" t="s">
        <v>1294</v>
      </c>
      <c r="L5" s="16"/>
      <c r="M5" s="14"/>
      <c r="N5" s="13" t="s">
        <v>778</v>
      </c>
      <c r="O5" s="13" t="s">
        <v>1295</v>
      </c>
    </row>
    <row r="6" customFormat="false" ht="15" hidden="false" customHeight="false" outlineLevel="0" collapsed="false">
      <c r="A6" s="13" t="s">
        <v>1296</v>
      </c>
      <c r="B6" s="13" t="s">
        <v>1288</v>
      </c>
      <c r="C6" s="14" t="s">
        <v>1289</v>
      </c>
      <c r="D6" s="14" t="s">
        <v>1290</v>
      </c>
      <c r="E6" s="14" t="s">
        <v>1297</v>
      </c>
      <c r="F6" s="16" t="s">
        <v>1298</v>
      </c>
      <c r="G6" s="16" t="s">
        <v>1299</v>
      </c>
      <c r="H6" s="14" t="n">
        <v>6</v>
      </c>
      <c r="I6" s="14" t="n">
        <v>1</v>
      </c>
      <c r="J6" s="14"/>
      <c r="K6" s="16" t="s">
        <v>1294</v>
      </c>
      <c r="L6" s="16"/>
      <c r="M6" s="14"/>
      <c r="N6" s="13" t="s">
        <v>778</v>
      </c>
      <c r="O6" s="13" t="s">
        <v>1295</v>
      </c>
    </row>
    <row r="7" customFormat="false" ht="15" hidden="false" customHeight="false" outlineLevel="0" collapsed="false">
      <c r="A7" s="13" t="s">
        <v>1300</v>
      </c>
      <c r="B7" s="13" t="s">
        <v>1288</v>
      </c>
      <c r="C7" s="14" t="s">
        <v>1301</v>
      </c>
      <c r="D7" s="14" t="s">
        <v>1290</v>
      </c>
      <c r="E7" s="14" t="s">
        <v>1302</v>
      </c>
      <c r="F7" s="16" t="s">
        <v>1303</v>
      </c>
      <c r="G7" s="16" t="s">
        <v>1304</v>
      </c>
      <c r="H7" s="14" t="n">
        <v>9</v>
      </c>
      <c r="I7" s="14"/>
      <c r="J7" s="14"/>
      <c r="K7" s="16" t="s">
        <v>1294</v>
      </c>
      <c r="L7" s="16"/>
      <c r="M7" s="14"/>
      <c r="N7" s="13" t="s">
        <v>778</v>
      </c>
      <c r="O7" s="13" t="s">
        <v>1295</v>
      </c>
    </row>
    <row r="8" customFormat="false" ht="15" hidden="false" customHeight="false" outlineLevel="0" collapsed="false">
      <c r="A8" s="13" t="s">
        <v>1305</v>
      </c>
      <c r="B8" s="13" t="s">
        <v>1288</v>
      </c>
      <c r="C8" s="14" t="s">
        <v>1289</v>
      </c>
      <c r="D8" s="14" t="s">
        <v>1290</v>
      </c>
      <c r="E8" s="14" t="s">
        <v>1306</v>
      </c>
      <c r="F8" s="16" t="s">
        <v>1307</v>
      </c>
      <c r="G8" s="16" t="s">
        <v>1308</v>
      </c>
      <c r="H8" s="14" t="n">
        <v>4</v>
      </c>
      <c r="I8" s="14"/>
      <c r="J8" s="14"/>
      <c r="K8" s="16" t="s">
        <v>1294</v>
      </c>
      <c r="L8" s="16"/>
      <c r="M8" s="14"/>
      <c r="N8" s="13" t="s">
        <v>778</v>
      </c>
      <c r="O8" s="13" t="s">
        <v>1295</v>
      </c>
    </row>
    <row r="9" customFormat="false" ht="15" hidden="false" customHeight="false" outlineLevel="0" collapsed="false">
      <c r="A9" s="13" t="s">
        <v>1309</v>
      </c>
      <c r="B9" s="13" t="s">
        <v>1288</v>
      </c>
      <c r="C9" s="14" t="s">
        <v>1310</v>
      </c>
      <c r="D9" s="14" t="s">
        <v>1290</v>
      </c>
      <c r="E9" s="14" t="s">
        <v>1311</v>
      </c>
      <c r="F9" s="16" t="s">
        <v>1312</v>
      </c>
      <c r="G9" s="16" t="s">
        <v>1313</v>
      </c>
      <c r="H9" s="14" t="n">
        <v>0</v>
      </c>
      <c r="I9" s="14"/>
      <c r="J9" s="14"/>
      <c r="K9" s="16" t="s">
        <v>1294</v>
      </c>
      <c r="L9" s="16"/>
      <c r="M9" s="14"/>
      <c r="N9" s="13" t="s">
        <v>778</v>
      </c>
      <c r="O9" s="13" t="s">
        <v>1295</v>
      </c>
    </row>
    <row r="10" customFormat="false" ht="15" hidden="false" customHeight="false" outlineLevel="0" collapsed="false">
      <c r="A10" s="13" t="s">
        <v>1314</v>
      </c>
      <c r="B10" s="13" t="s">
        <v>1288</v>
      </c>
      <c r="C10" s="14" t="s">
        <v>1289</v>
      </c>
      <c r="D10" s="14" t="s">
        <v>1290</v>
      </c>
      <c r="E10" s="14" t="s">
        <v>1315</v>
      </c>
      <c r="F10" s="16" t="s">
        <v>1316</v>
      </c>
      <c r="G10" s="16" t="s">
        <v>1317</v>
      </c>
      <c r="H10" s="14" t="n">
        <v>0</v>
      </c>
      <c r="I10" s="14" t="n">
        <v>6</v>
      </c>
      <c r="J10" s="14"/>
      <c r="K10" s="16" t="s">
        <v>1294</v>
      </c>
      <c r="L10" s="16"/>
      <c r="M10" s="14"/>
      <c r="N10" s="13" t="s">
        <v>778</v>
      </c>
      <c r="O10" s="13" t="s">
        <v>1295</v>
      </c>
    </row>
    <row r="11" customFormat="false" ht="15" hidden="false" customHeight="false" outlineLevel="0" collapsed="false">
      <c r="A11" s="13" t="s">
        <v>1318</v>
      </c>
      <c r="B11" s="13" t="s">
        <v>1288</v>
      </c>
      <c r="C11" s="14" t="s">
        <v>1319</v>
      </c>
      <c r="D11" s="14" t="s">
        <v>1290</v>
      </c>
      <c r="E11" s="14" t="s">
        <v>1320</v>
      </c>
      <c r="F11" s="16" t="s">
        <v>1321</v>
      </c>
      <c r="G11" s="16" t="s">
        <v>1322</v>
      </c>
      <c r="H11" s="14" t="n">
        <v>14</v>
      </c>
      <c r="I11" s="14"/>
      <c r="J11" s="14"/>
      <c r="K11" s="16" t="s">
        <v>1294</v>
      </c>
      <c r="L11" s="16"/>
      <c r="M11" s="14"/>
      <c r="N11" s="13" t="s">
        <v>778</v>
      </c>
      <c r="O11" s="13" t="s">
        <v>1295</v>
      </c>
    </row>
    <row r="12" customFormat="false" ht="15" hidden="false" customHeight="false" outlineLevel="0" collapsed="false">
      <c r="A12" s="13" t="s">
        <v>1323</v>
      </c>
      <c r="B12" s="13" t="s">
        <v>1288</v>
      </c>
      <c r="C12" s="14" t="s">
        <v>1324</v>
      </c>
      <c r="D12" s="14" t="s">
        <v>1290</v>
      </c>
      <c r="E12" s="14" t="s">
        <v>1325</v>
      </c>
      <c r="F12" s="16" t="s">
        <v>1326</v>
      </c>
      <c r="G12" s="16" t="s">
        <v>1327</v>
      </c>
      <c r="H12" s="14" t="n">
        <v>0</v>
      </c>
      <c r="I12" s="14" t="n">
        <v>2</v>
      </c>
      <c r="J12" s="14"/>
      <c r="K12" s="16" t="s">
        <v>1294</v>
      </c>
      <c r="L12" s="16"/>
      <c r="M12" s="14"/>
      <c r="N12" s="13" t="s">
        <v>778</v>
      </c>
      <c r="O12" s="13" t="s">
        <v>1295</v>
      </c>
    </row>
    <row r="13" customFormat="false" ht="15" hidden="false" customHeight="false" outlineLevel="0" collapsed="false">
      <c r="A13" s="13" t="s">
        <v>1328</v>
      </c>
      <c r="B13" s="13" t="s">
        <v>1288</v>
      </c>
      <c r="C13" s="14" t="s">
        <v>1289</v>
      </c>
      <c r="D13" s="14" t="s">
        <v>1290</v>
      </c>
      <c r="E13" s="14" t="s">
        <v>1329</v>
      </c>
      <c r="F13" s="16" t="s">
        <v>1330</v>
      </c>
      <c r="G13" s="16" t="s">
        <v>1331</v>
      </c>
      <c r="H13" s="14" t="n">
        <v>8</v>
      </c>
      <c r="I13" s="14" t="n">
        <v>2</v>
      </c>
      <c r="J13" s="14"/>
      <c r="K13" s="16" t="s">
        <v>1294</v>
      </c>
      <c r="L13" s="16"/>
      <c r="M13" s="14"/>
      <c r="N13" s="13" t="s">
        <v>778</v>
      </c>
      <c r="O13" s="13" t="s">
        <v>1295</v>
      </c>
    </row>
    <row r="14" customFormat="false" ht="15" hidden="false" customHeight="false" outlineLevel="0" collapsed="false">
      <c r="A14" s="13" t="s">
        <v>1332</v>
      </c>
      <c r="B14" s="13" t="s">
        <v>1288</v>
      </c>
      <c r="C14" s="14" t="s">
        <v>1289</v>
      </c>
      <c r="D14" s="14" t="s">
        <v>1290</v>
      </c>
      <c r="E14" s="14" t="s">
        <v>1333</v>
      </c>
      <c r="F14" s="16" t="s">
        <v>1334</v>
      </c>
      <c r="G14" s="16" t="s">
        <v>1335</v>
      </c>
      <c r="H14" s="14" t="n">
        <v>2</v>
      </c>
      <c r="I14" s="14"/>
      <c r="J14" s="14"/>
      <c r="K14" s="16" t="s">
        <v>1294</v>
      </c>
      <c r="L14" s="16"/>
      <c r="M14" s="14"/>
      <c r="N14" s="13" t="s">
        <v>778</v>
      </c>
      <c r="O14" s="13" t="s">
        <v>1295</v>
      </c>
    </row>
    <row r="15" customFormat="false" ht="15" hidden="false" customHeight="false" outlineLevel="0" collapsed="false">
      <c r="A15" s="13" t="s">
        <v>1336</v>
      </c>
      <c r="B15" s="13" t="s">
        <v>1288</v>
      </c>
      <c r="C15" s="14" t="s">
        <v>1310</v>
      </c>
      <c r="D15" s="14" t="s">
        <v>1290</v>
      </c>
      <c r="E15" s="14" t="s">
        <v>1337</v>
      </c>
      <c r="F15" s="16" t="s">
        <v>1338</v>
      </c>
      <c r="G15" s="16" t="s">
        <v>1339</v>
      </c>
      <c r="H15" s="14" t="n">
        <v>5</v>
      </c>
      <c r="I15" s="14"/>
      <c r="J15" s="14"/>
      <c r="K15" s="16" t="s">
        <v>1294</v>
      </c>
      <c r="L15" s="16"/>
      <c r="M15" s="14"/>
      <c r="N15" s="13" t="s">
        <v>778</v>
      </c>
      <c r="O15" s="13" t="s">
        <v>1295</v>
      </c>
    </row>
    <row r="16" customFormat="false" ht="15" hidden="false" customHeight="false" outlineLevel="0" collapsed="false">
      <c r="A16" s="13" t="s">
        <v>1340</v>
      </c>
      <c r="B16" s="13" t="s">
        <v>1288</v>
      </c>
      <c r="C16" s="14" t="s">
        <v>1319</v>
      </c>
      <c r="D16" s="14" t="s">
        <v>1290</v>
      </c>
      <c r="E16" s="14" t="s">
        <v>1341</v>
      </c>
      <c r="F16" s="16" t="s">
        <v>1342</v>
      </c>
      <c r="G16" s="16" t="s">
        <v>1343</v>
      </c>
      <c r="H16" s="14" t="n">
        <v>22</v>
      </c>
      <c r="I16" s="14"/>
      <c r="J16" s="14"/>
      <c r="K16" s="16" t="s">
        <v>1294</v>
      </c>
      <c r="L16" s="16"/>
      <c r="M16" s="14"/>
      <c r="N16" s="13" t="s">
        <v>778</v>
      </c>
      <c r="O16" s="13" t="s">
        <v>1295</v>
      </c>
    </row>
    <row r="17" customFormat="false" ht="15" hidden="false" customHeight="false" outlineLevel="0" collapsed="false">
      <c r="A17" s="13" t="s">
        <v>1344</v>
      </c>
      <c r="B17" s="13" t="s">
        <v>1288</v>
      </c>
      <c r="C17" s="14" t="s">
        <v>1289</v>
      </c>
      <c r="D17" s="14" t="s">
        <v>1290</v>
      </c>
      <c r="E17" s="14" t="s">
        <v>1345</v>
      </c>
      <c r="F17" s="16" t="s">
        <v>1346</v>
      </c>
      <c r="G17" s="16" t="s">
        <v>1347</v>
      </c>
      <c r="H17" s="14" t="n">
        <v>12</v>
      </c>
      <c r="I17" s="14" t="n">
        <v>1</v>
      </c>
      <c r="J17" s="14"/>
      <c r="K17" s="16" t="s">
        <v>1294</v>
      </c>
      <c r="L17" s="16"/>
      <c r="M17" s="14"/>
      <c r="N17" s="13" t="s">
        <v>778</v>
      </c>
      <c r="O17" s="13" t="s">
        <v>1295</v>
      </c>
    </row>
    <row r="18" customFormat="false" ht="15" hidden="false" customHeight="false" outlineLevel="0" collapsed="false">
      <c r="A18" s="13" t="s">
        <v>1348</v>
      </c>
      <c r="B18" s="13" t="s">
        <v>1288</v>
      </c>
      <c r="C18" s="14" t="s">
        <v>1324</v>
      </c>
      <c r="D18" s="14" t="s">
        <v>1290</v>
      </c>
      <c r="E18" s="14" t="s">
        <v>1349</v>
      </c>
      <c r="F18" s="16" t="s">
        <v>1350</v>
      </c>
      <c r="G18" s="16" t="s">
        <v>1351</v>
      </c>
      <c r="H18" s="14" t="n">
        <v>10</v>
      </c>
      <c r="I18" s="14"/>
      <c r="J18" s="14"/>
      <c r="K18" s="16" t="s">
        <v>1294</v>
      </c>
      <c r="L18" s="16"/>
      <c r="M18" s="14"/>
      <c r="N18" s="13" t="s">
        <v>778</v>
      </c>
      <c r="O18" s="13" t="s">
        <v>1295</v>
      </c>
    </row>
    <row r="19" customFormat="false" ht="15" hidden="false" customHeight="false" outlineLevel="0" collapsed="false">
      <c r="A19" s="13" t="s">
        <v>1352</v>
      </c>
      <c r="B19" s="13" t="s">
        <v>1288</v>
      </c>
      <c r="C19" s="14" t="s">
        <v>1289</v>
      </c>
      <c r="D19" s="14" t="s">
        <v>1290</v>
      </c>
      <c r="E19" s="14" t="s">
        <v>1353</v>
      </c>
      <c r="F19" s="16" t="s">
        <v>1354</v>
      </c>
      <c r="G19" s="16" t="s">
        <v>1355</v>
      </c>
      <c r="H19" s="14" t="n">
        <v>16</v>
      </c>
      <c r="I19" s="14"/>
      <c r="J19" s="14"/>
      <c r="K19" s="16" t="s">
        <v>1294</v>
      </c>
      <c r="L19" s="16"/>
      <c r="M19" s="14"/>
      <c r="N19" s="13" t="s">
        <v>778</v>
      </c>
      <c r="O19" s="13" t="s">
        <v>1295</v>
      </c>
    </row>
    <row r="20" customFormat="false" ht="15" hidden="false" customHeight="false" outlineLevel="0" collapsed="false">
      <c r="A20" s="13" t="s">
        <v>1356</v>
      </c>
      <c r="B20" s="13" t="s">
        <v>1288</v>
      </c>
      <c r="C20" s="14" t="s">
        <v>1324</v>
      </c>
      <c r="D20" s="14" t="s">
        <v>1357</v>
      </c>
      <c r="E20" s="14" t="s">
        <v>1358</v>
      </c>
      <c r="F20" s="16" t="s">
        <v>1359</v>
      </c>
      <c r="G20" s="16" t="s">
        <v>1360</v>
      </c>
      <c r="H20" s="14" t="n">
        <v>14</v>
      </c>
      <c r="I20" s="14"/>
      <c r="J20" s="14"/>
      <c r="K20" s="16" t="s">
        <v>1361</v>
      </c>
      <c r="L20" s="16"/>
      <c r="M20" s="14"/>
      <c r="N20" s="13" t="s">
        <v>778</v>
      </c>
      <c r="O20" s="13" t="s">
        <v>1295</v>
      </c>
    </row>
    <row r="21" customFormat="false" ht="15" hidden="false" customHeight="false" outlineLevel="0" collapsed="false">
      <c r="A21" s="13" t="s">
        <v>1362</v>
      </c>
      <c r="B21" s="13" t="s">
        <v>1288</v>
      </c>
      <c r="C21" s="14" t="s">
        <v>1319</v>
      </c>
      <c r="D21" s="14" t="s">
        <v>1357</v>
      </c>
      <c r="E21" s="14" t="s">
        <v>1363</v>
      </c>
      <c r="F21" s="16" t="s">
        <v>1364</v>
      </c>
      <c r="G21" s="16" t="s">
        <v>1365</v>
      </c>
      <c r="H21" s="14" t="n">
        <v>22</v>
      </c>
      <c r="I21" s="14" t="n">
        <v>1</v>
      </c>
      <c r="J21" s="14"/>
      <c r="K21" s="16" t="s">
        <v>1361</v>
      </c>
      <c r="L21" s="16"/>
      <c r="M21" s="14"/>
      <c r="N21" s="13" t="s">
        <v>778</v>
      </c>
      <c r="O21" s="13" t="s">
        <v>1295</v>
      </c>
    </row>
    <row r="22" customFormat="false" ht="15" hidden="false" customHeight="false" outlineLevel="0" collapsed="false">
      <c r="A22" s="13" t="s">
        <v>1366</v>
      </c>
      <c r="B22" s="13" t="s">
        <v>1288</v>
      </c>
      <c r="C22" s="14" t="s">
        <v>1310</v>
      </c>
      <c r="D22" s="14" t="s">
        <v>1357</v>
      </c>
      <c r="E22" s="14" t="s">
        <v>1367</v>
      </c>
      <c r="F22" s="16" t="s">
        <v>1368</v>
      </c>
      <c r="G22" s="16" t="s">
        <v>1369</v>
      </c>
      <c r="H22" s="14" t="n">
        <v>16</v>
      </c>
      <c r="I22" s="14"/>
      <c r="J22" s="14"/>
      <c r="K22" s="16" t="s">
        <v>1361</v>
      </c>
      <c r="L22" s="16"/>
      <c r="M22" s="14"/>
      <c r="N22" s="13" t="s">
        <v>778</v>
      </c>
      <c r="O22" s="13" t="s">
        <v>1295</v>
      </c>
    </row>
    <row r="23" customFormat="false" ht="15" hidden="false" customHeight="false" outlineLevel="0" collapsed="false">
      <c r="A23" s="13" t="s">
        <v>1370</v>
      </c>
      <c r="B23" s="13" t="s">
        <v>1288</v>
      </c>
      <c r="C23" s="14" t="s">
        <v>1324</v>
      </c>
      <c r="D23" s="14" t="s">
        <v>1357</v>
      </c>
      <c r="E23" s="14" t="s">
        <v>1371</v>
      </c>
      <c r="F23" s="16" t="s">
        <v>1372</v>
      </c>
      <c r="G23" s="16" t="s">
        <v>1373</v>
      </c>
      <c r="H23" s="14" t="n">
        <v>11</v>
      </c>
      <c r="I23" s="14" t="n">
        <v>1</v>
      </c>
      <c r="J23" s="14"/>
      <c r="K23" s="16" t="s">
        <v>1361</v>
      </c>
      <c r="L23" s="16"/>
      <c r="M23" s="14"/>
      <c r="N23" s="13" t="s">
        <v>778</v>
      </c>
      <c r="O23" s="13" t="s">
        <v>1295</v>
      </c>
    </row>
    <row r="24" customFormat="false" ht="15" hidden="false" customHeight="false" outlineLevel="0" collapsed="false">
      <c r="A24" s="13" t="s">
        <v>1374</v>
      </c>
      <c r="B24" s="13" t="s">
        <v>1288</v>
      </c>
      <c r="C24" s="14" t="s">
        <v>1319</v>
      </c>
      <c r="D24" s="14" t="s">
        <v>1357</v>
      </c>
      <c r="E24" s="14" t="s">
        <v>1375</v>
      </c>
      <c r="F24" s="16" t="s">
        <v>1376</v>
      </c>
      <c r="G24" s="16" t="s">
        <v>1377</v>
      </c>
      <c r="H24" s="14" t="n">
        <v>8</v>
      </c>
      <c r="I24" s="14" t="n">
        <v>1</v>
      </c>
      <c r="J24" s="14"/>
      <c r="K24" s="16" t="s">
        <v>1361</v>
      </c>
      <c r="L24" s="16"/>
      <c r="M24" s="14"/>
      <c r="N24" s="13" t="s">
        <v>778</v>
      </c>
      <c r="O24" s="13" t="s">
        <v>1295</v>
      </c>
    </row>
    <row r="25" customFormat="false" ht="15" hidden="false" customHeight="false" outlineLevel="0" collapsed="false">
      <c r="A25" s="13" t="s">
        <v>1378</v>
      </c>
      <c r="B25" s="13" t="s">
        <v>1288</v>
      </c>
      <c r="C25" s="14" t="s">
        <v>1310</v>
      </c>
      <c r="D25" s="14" t="s">
        <v>1357</v>
      </c>
      <c r="E25" s="14" t="s">
        <v>1379</v>
      </c>
      <c r="F25" s="16" t="s">
        <v>1380</v>
      </c>
      <c r="G25" s="16" t="s">
        <v>1381</v>
      </c>
      <c r="H25" s="14" t="n">
        <v>5</v>
      </c>
      <c r="I25" s="14"/>
      <c r="J25" s="14"/>
      <c r="K25" s="16" t="s">
        <v>1361</v>
      </c>
      <c r="L25" s="16"/>
      <c r="M25" s="14"/>
      <c r="N25" s="13" t="s">
        <v>778</v>
      </c>
      <c r="O25" s="13" t="s">
        <v>1295</v>
      </c>
    </row>
    <row r="26" customFormat="false" ht="15" hidden="false" customHeight="false" outlineLevel="0" collapsed="false">
      <c r="A26" s="13" t="s">
        <v>1382</v>
      </c>
      <c r="B26" s="13" t="s">
        <v>1288</v>
      </c>
      <c r="C26" s="14" t="s">
        <v>1289</v>
      </c>
      <c r="D26" s="14" t="s">
        <v>1357</v>
      </c>
      <c r="E26" s="14" t="s">
        <v>1383</v>
      </c>
      <c r="F26" s="16" t="s">
        <v>1384</v>
      </c>
      <c r="G26" s="16" t="s">
        <v>1385</v>
      </c>
      <c r="H26" s="14" t="n">
        <v>6</v>
      </c>
      <c r="I26" s="14"/>
      <c r="J26" s="14"/>
      <c r="K26" s="16" t="s">
        <v>1361</v>
      </c>
      <c r="L26" s="16"/>
      <c r="M26" s="14"/>
      <c r="N26" s="13" t="s">
        <v>778</v>
      </c>
      <c r="O26" s="13" t="s">
        <v>1295</v>
      </c>
    </row>
    <row r="27" customFormat="false" ht="15" hidden="false" customHeight="false" outlineLevel="0" collapsed="false">
      <c r="A27" s="13" t="s">
        <v>1386</v>
      </c>
      <c r="B27" s="13" t="s">
        <v>1288</v>
      </c>
      <c r="C27" s="14" t="s">
        <v>1319</v>
      </c>
      <c r="D27" s="14" t="s">
        <v>1357</v>
      </c>
      <c r="E27" s="14" t="s">
        <v>1387</v>
      </c>
      <c r="F27" s="16" t="s">
        <v>1388</v>
      </c>
      <c r="G27" s="16" t="s">
        <v>1389</v>
      </c>
      <c r="H27" s="14" t="n">
        <v>4</v>
      </c>
      <c r="I27" s="14"/>
      <c r="J27" s="14"/>
      <c r="K27" s="16" t="s">
        <v>1361</v>
      </c>
      <c r="L27" s="16"/>
      <c r="M27" s="14"/>
      <c r="N27" s="13" t="s">
        <v>778</v>
      </c>
      <c r="O27" s="13" t="s">
        <v>1295</v>
      </c>
    </row>
    <row r="28" customFormat="false" ht="15" hidden="false" customHeight="false" outlineLevel="0" collapsed="false">
      <c r="A28" s="13" t="s">
        <v>1390</v>
      </c>
      <c r="B28" s="13" t="s">
        <v>1288</v>
      </c>
      <c r="C28" s="14" t="s">
        <v>1324</v>
      </c>
      <c r="D28" s="14" t="s">
        <v>1357</v>
      </c>
      <c r="E28" s="14" t="s">
        <v>1391</v>
      </c>
      <c r="F28" s="16" t="s">
        <v>1392</v>
      </c>
      <c r="G28" s="16" t="s">
        <v>1393</v>
      </c>
      <c r="H28" s="14" t="n">
        <v>6</v>
      </c>
      <c r="I28" s="14" t="n">
        <v>2</v>
      </c>
      <c r="J28" s="14"/>
      <c r="K28" s="16" t="s">
        <v>1361</v>
      </c>
      <c r="L28" s="16"/>
      <c r="M28" s="14"/>
      <c r="N28" s="13" t="s">
        <v>778</v>
      </c>
      <c r="O28" s="13" t="s">
        <v>1295</v>
      </c>
    </row>
    <row r="29" customFormat="false" ht="15" hidden="false" customHeight="false" outlineLevel="0" collapsed="false">
      <c r="A29" s="13" t="s">
        <v>1394</v>
      </c>
      <c r="B29" s="13" t="s">
        <v>1288</v>
      </c>
      <c r="C29" s="14" t="s">
        <v>1319</v>
      </c>
      <c r="D29" s="14" t="s">
        <v>1357</v>
      </c>
      <c r="E29" s="14" t="s">
        <v>1395</v>
      </c>
      <c r="F29" s="16" t="s">
        <v>1396</v>
      </c>
      <c r="G29" s="16" t="s">
        <v>1397</v>
      </c>
      <c r="H29" s="14" t="n">
        <v>0</v>
      </c>
      <c r="I29" s="14"/>
      <c r="J29" s="14"/>
      <c r="K29" s="16" t="s">
        <v>1361</v>
      </c>
      <c r="L29" s="16"/>
      <c r="M29" s="14"/>
      <c r="N29" s="13" t="s">
        <v>778</v>
      </c>
      <c r="O29" s="13" t="s">
        <v>1295</v>
      </c>
    </row>
    <row r="30" customFormat="false" ht="15" hidden="false" customHeight="false" outlineLevel="0" collapsed="false">
      <c r="A30" s="13" t="s">
        <v>1398</v>
      </c>
      <c r="B30" s="13" t="s">
        <v>1288</v>
      </c>
      <c r="C30" s="14" t="s">
        <v>1310</v>
      </c>
      <c r="D30" s="14" t="s">
        <v>1357</v>
      </c>
      <c r="E30" s="14" t="s">
        <v>1399</v>
      </c>
      <c r="F30" s="16" t="s">
        <v>1400</v>
      </c>
      <c r="G30" s="16" t="s">
        <v>1401</v>
      </c>
      <c r="H30" s="14" t="n">
        <v>0</v>
      </c>
      <c r="I30" s="14"/>
      <c r="J30" s="14"/>
      <c r="K30" s="16" t="s">
        <v>1361</v>
      </c>
      <c r="L30" s="16"/>
      <c r="M30" s="14"/>
      <c r="N30" s="13" t="s">
        <v>778</v>
      </c>
      <c r="O30" s="13" t="s">
        <v>1295</v>
      </c>
    </row>
    <row r="31" customFormat="false" ht="15" hidden="false" customHeight="false" outlineLevel="0" collapsed="false">
      <c r="A31" s="13" t="s">
        <v>1402</v>
      </c>
      <c r="B31" s="13" t="s">
        <v>1288</v>
      </c>
      <c r="C31" s="14" t="s">
        <v>1289</v>
      </c>
      <c r="D31" s="14" t="s">
        <v>1357</v>
      </c>
      <c r="E31" s="14" t="s">
        <v>1403</v>
      </c>
      <c r="F31" s="16" t="s">
        <v>1404</v>
      </c>
      <c r="G31" s="16" t="s">
        <v>1405</v>
      </c>
      <c r="H31" s="14" t="n">
        <v>3</v>
      </c>
      <c r="I31" s="14"/>
      <c r="J31" s="14"/>
      <c r="K31" s="16" t="s">
        <v>1361</v>
      </c>
      <c r="L31" s="16"/>
      <c r="M31" s="14"/>
      <c r="N31" s="13" t="s">
        <v>778</v>
      </c>
      <c r="O31" s="13" t="s">
        <v>1295</v>
      </c>
    </row>
    <row r="32" customFormat="false" ht="15" hidden="false" customHeight="false" outlineLevel="0" collapsed="false">
      <c r="A32" s="13" t="s">
        <v>1406</v>
      </c>
      <c r="B32" s="13" t="s">
        <v>1288</v>
      </c>
      <c r="C32" s="14" t="s">
        <v>1319</v>
      </c>
      <c r="D32" s="14" t="s">
        <v>1357</v>
      </c>
      <c r="E32" s="14" t="s">
        <v>1407</v>
      </c>
      <c r="F32" s="16" t="s">
        <v>1408</v>
      </c>
      <c r="G32" s="16" t="s">
        <v>1409</v>
      </c>
      <c r="H32" s="14" t="n">
        <v>10</v>
      </c>
      <c r="I32" s="14"/>
      <c r="J32" s="14"/>
      <c r="K32" s="16" t="s">
        <v>1361</v>
      </c>
      <c r="L32" s="16"/>
      <c r="M32" s="14"/>
      <c r="N32" s="13" t="s">
        <v>778</v>
      </c>
      <c r="O32" s="13" t="s">
        <v>1295</v>
      </c>
    </row>
    <row r="33" customFormat="false" ht="15" hidden="false" customHeight="false" outlineLevel="0" collapsed="false">
      <c r="A33" s="13" t="s">
        <v>1410</v>
      </c>
      <c r="B33" s="13" t="s">
        <v>1288</v>
      </c>
      <c r="C33" s="14" t="s">
        <v>1324</v>
      </c>
      <c r="D33" s="14" t="s">
        <v>1357</v>
      </c>
      <c r="E33" s="14" t="s">
        <v>1411</v>
      </c>
      <c r="F33" s="16" t="s">
        <v>1412</v>
      </c>
      <c r="G33" s="16" t="s">
        <v>1413</v>
      </c>
      <c r="H33" s="14" t="n">
        <v>7</v>
      </c>
      <c r="I33" s="14"/>
      <c r="J33" s="14"/>
      <c r="K33" s="16" t="s">
        <v>1361</v>
      </c>
      <c r="L33" s="16"/>
      <c r="M33" s="14"/>
      <c r="N33" s="13" t="s">
        <v>778</v>
      </c>
      <c r="O33" s="13" t="s">
        <v>1295</v>
      </c>
    </row>
    <row r="34" customFormat="false" ht="15" hidden="false" customHeight="false" outlineLevel="0" collapsed="false">
      <c r="A34" s="13" t="s">
        <v>1414</v>
      </c>
      <c r="B34" s="13" t="s">
        <v>1288</v>
      </c>
      <c r="C34" s="14" t="s">
        <v>1310</v>
      </c>
      <c r="D34" s="14" t="s">
        <v>1357</v>
      </c>
      <c r="E34" s="14" t="s">
        <v>1415</v>
      </c>
      <c r="F34" s="16" t="s">
        <v>1416</v>
      </c>
      <c r="G34" s="16" t="s">
        <v>1417</v>
      </c>
      <c r="H34" s="14" t="n">
        <v>0</v>
      </c>
      <c r="I34" s="14"/>
      <c r="J34" s="14"/>
      <c r="K34" s="16" t="s">
        <v>1361</v>
      </c>
      <c r="L34" s="16"/>
      <c r="M34" s="14"/>
      <c r="N34" s="13" t="s">
        <v>778</v>
      </c>
      <c r="O34" s="13" t="s">
        <v>1295</v>
      </c>
    </row>
    <row r="35" customFormat="false" ht="15" hidden="false" customHeight="false" outlineLevel="0" collapsed="false">
      <c r="A35" s="13" t="s">
        <v>1418</v>
      </c>
      <c r="B35" s="13" t="s">
        <v>1288</v>
      </c>
      <c r="C35" s="14" t="s">
        <v>1289</v>
      </c>
      <c r="D35" s="14" t="s">
        <v>1419</v>
      </c>
      <c r="E35" s="14" t="s">
        <v>1420</v>
      </c>
      <c r="F35" s="16" t="s">
        <v>1421</v>
      </c>
      <c r="G35" s="16" t="s">
        <v>1422</v>
      </c>
      <c r="H35" s="14" t="n">
        <v>12</v>
      </c>
      <c r="I35" s="14"/>
      <c r="J35" s="14"/>
      <c r="K35" s="16" t="s">
        <v>1423</v>
      </c>
      <c r="L35" s="16"/>
      <c r="M35" s="14" t="s">
        <v>352</v>
      </c>
      <c r="N35" s="13" t="s">
        <v>778</v>
      </c>
      <c r="O35" s="13" t="s">
        <v>1295</v>
      </c>
    </row>
    <row r="36" customFormat="false" ht="15" hidden="false" customHeight="false" outlineLevel="0" collapsed="false">
      <c r="A36" s="13" t="s">
        <v>1424</v>
      </c>
      <c r="B36" s="13" t="s">
        <v>1288</v>
      </c>
      <c r="C36" s="14" t="s">
        <v>1289</v>
      </c>
      <c r="D36" s="14" t="s">
        <v>1419</v>
      </c>
      <c r="E36" s="14" t="s">
        <v>1425</v>
      </c>
      <c r="F36" s="16" t="s">
        <v>1426</v>
      </c>
      <c r="G36" s="16" t="s">
        <v>1427</v>
      </c>
      <c r="H36" s="14" t="n">
        <v>10</v>
      </c>
      <c r="I36" s="14" t="n">
        <v>5</v>
      </c>
      <c r="J36" s="14"/>
      <c r="K36" s="16" t="s">
        <v>1423</v>
      </c>
      <c r="L36" s="16"/>
      <c r="M36" s="14" t="s">
        <v>352</v>
      </c>
      <c r="N36" s="13" t="s">
        <v>778</v>
      </c>
      <c r="O36" s="13" t="s">
        <v>1295</v>
      </c>
    </row>
    <row r="37" customFormat="false" ht="15" hidden="false" customHeight="false" outlineLevel="0" collapsed="false">
      <c r="A37" s="13" t="s">
        <v>1428</v>
      </c>
      <c r="B37" s="13" t="s">
        <v>1288</v>
      </c>
      <c r="C37" s="14" t="s">
        <v>1289</v>
      </c>
      <c r="D37" s="14" t="s">
        <v>1419</v>
      </c>
      <c r="E37" s="14" t="s">
        <v>1429</v>
      </c>
      <c r="F37" s="16" t="s">
        <v>1430</v>
      </c>
      <c r="G37" s="16" t="s">
        <v>1431</v>
      </c>
      <c r="H37" s="14" t="n">
        <v>7</v>
      </c>
      <c r="I37" s="14"/>
      <c r="J37" s="14"/>
      <c r="K37" s="16" t="s">
        <v>1423</v>
      </c>
      <c r="L37" s="16"/>
      <c r="M37" s="14" t="s">
        <v>352</v>
      </c>
      <c r="N37" s="13" t="s">
        <v>778</v>
      </c>
      <c r="O37" s="13" t="s">
        <v>1295</v>
      </c>
    </row>
    <row r="38" customFormat="false" ht="15" hidden="false" customHeight="false" outlineLevel="0" collapsed="false">
      <c r="A38" s="13" t="s">
        <v>1432</v>
      </c>
      <c r="B38" s="13" t="s">
        <v>1288</v>
      </c>
      <c r="C38" s="14" t="s">
        <v>1310</v>
      </c>
      <c r="D38" s="14" t="s">
        <v>1419</v>
      </c>
      <c r="E38" s="14" t="s">
        <v>1433</v>
      </c>
      <c r="F38" s="16" t="s">
        <v>1434</v>
      </c>
      <c r="G38" s="16" t="s">
        <v>1435</v>
      </c>
      <c r="H38" s="14" t="n">
        <v>4</v>
      </c>
      <c r="I38" s="14"/>
      <c r="J38" s="14"/>
      <c r="K38" s="16" t="s">
        <v>1423</v>
      </c>
      <c r="L38" s="16"/>
      <c r="M38" s="14" t="s">
        <v>352</v>
      </c>
      <c r="N38" s="13" t="s">
        <v>778</v>
      </c>
      <c r="O38" s="13" t="s">
        <v>1295</v>
      </c>
    </row>
    <row r="39" customFormat="false" ht="15" hidden="false" customHeight="false" outlineLevel="0" collapsed="false">
      <c r="A39" s="13" t="s">
        <v>1436</v>
      </c>
      <c r="B39" s="13" t="s">
        <v>1288</v>
      </c>
      <c r="C39" s="14" t="s">
        <v>1289</v>
      </c>
      <c r="D39" s="14" t="s">
        <v>1419</v>
      </c>
      <c r="E39" s="14" t="s">
        <v>1437</v>
      </c>
      <c r="F39" s="16" t="s">
        <v>1438</v>
      </c>
      <c r="G39" s="16" t="s">
        <v>1439</v>
      </c>
      <c r="H39" s="14" t="n">
        <v>5</v>
      </c>
      <c r="I39" s="14"/>
      <c r="J39" s="14"/>
      <c r="K39" s="16" t="s">
        <v>1423</v>
      </c>
      <c r="L39" s="16"/>
      <c r="M39" s="14" t="s">
        <v>352</v>
      </c>
      <c r="N39" s="13" t="s">
        <v>778</v>
      </c>
      <c r="O39" s="13" t="s">
        <v>1295</v>
      </c>
    </row>
    <row r="40" customFormat="false" ht="15" hidden="false" customHeight="false" outlineLevel="0" collapsed="false">
      <c r="A40" s="13" t="s">
        <v>1440</v>
      </c>
      <c r="B40" s="13" t="s">
        <v>1288</v>
      </c>
      <c r="C40" s="14" t="s">
        <v>1319</v>
      </c>
      <c r="D40" s="14" t="s">
        <v>1419</v>
      </c>
      <c r="E40" s="14" t="s">
        <v>1441</v>
      </c>
      <c r="F40" s="16" t="s">
        <v>1442</v>
      </c>
      <c r="G40" s="16" t="s">
        <v>1443</v>
      </c>
      <c r="H40" s="14" t="n">
        <v>14</v>
      </c>
      <c r="I40" s="14"/>
      <c r="J40" s="14"/>
      <c r="K40" s="16" t="s">
        <v>1423</v>
      </c>
      <c r="L40" s="16"/>
      <c r="M40" s="14" t="s">
        <v>352</v>
      </c>
      <c r="N40" s="13" t="s">
        <v>778</v>
      </c>
      <c r="O40" s="13" t="s">
        <v>1295</v>
      </c>
    </row>
    <row r="41" customFormat="false" ht="15" hidden="false" customHeight="false" outlineLevel="0" collapsed="false">
      <c r="A41" s="13" t="s">
        <v>1444</v>
      </c>
      <c r="B41" s="13" t="s">
        <v>1288</v>
      </c>
      <c r="C41" s="14" t="s">
        <v>1324</v>
      </c>
      <c r="D41" s="14" t="s">
        <v>1419</v>
      </c>
      <c r="E41" s="14" t="s">
        <v>1445</v>
      </c>
      <c r="F41" s="16" t="s">
        <v>1446</v>
      </c>
      <c r="G41" s="16" t="s">
        <v>1447</v>
      </c>
      <c r="H41" s="14" t="n">
        <v>30</v>
      </c>
      <c r="I41" s="14"/>
      <c r="J41" s="14"/>
      <c r="K41" s="16" t="s">
        <v>1423</v>
      </c>
      <c r="L41" s="16"/>
      <c r="M41" s="14" t="s">
        <v>352</v>
      </c>
      <c r="N41" s="13" t="s">
        <v>778</v>
      </c>
      <c r="O41" s="13" t="s">
        <v>1295</v>
      </c>
    </row>
    <row r="42" customFormat="false" ht="15" hidden="false" customHeight="false" outlineLevel="0" collapsed="false">
      <c r="A42" s="13" t="s">
        <v>1448</v>
      </c>
      <c r="B42" s="13" t="s">
        <v>1288</v>
      </c>
      <c r="C42" s="14" t="s">
        <v>1289</v>
      </c>
      <c r="D42" s="14" t="s">
        <v>1419</v>
      </c>
      <c r="E42" s="14" t="s">
        <v>1449</v>
      </c>
      <c r="F42" s="16" t="s">
        <v>1450</v>
      </c>
      <c r="G42" s="16" t="s">
        <v>1451</v>
      </c>
      <c r="H42" s="14" t="n">
        <v>0</v>
      </c>
      <c r="I42" s="14" t="n">
        <v>1</v>
      </c>
      <c r="J42" s="14"/>
      <c r="K42" s="16" t="s">
        <v>1423</v>
      </c>
      <c r="L42" s="16"/>
      <c r="M42" s="14" t="s">
        <v>352</v>
      </c>
      <c r="N42" s="13" t="s">
        <v>778</v>
      </c>
      <c r="O42" s="13" t="s">
        <v>1295</v>
      </c>
    </row>
    <row r="43" customFormat="false" ht="15" hidden="false" customHeight="false" outlineLevel="0" collapsed="false">
      <c r="A43" s="13" t="s">
        <v>1452</v>
      </c>
      <c r="B43" s="13" t="s">
        <v>1288</v>
      </c>
      <c r="C43" s="14" t="s">
        <v>1289</v>
      </c>
      <c r="D43" s="14" t="s">
        <v>1419</v>
      </c>
      <c r="E43" s="14" t="s">
        <v>1453</v>
      </c>
      <c r="F43" s="16" t="s">
        <v>1454</v>
      </c>
      <c r="G43" s="16" t="s">
        <v>1455</v>
      </c>
      <c r="H43" s="14" t="n">
        <v>9</v>
      </c>
      <c r="I43" s="14" t="n">
        <v>3</v>
      </c>
      <c r="J43" s="14"/>
      <c r="K43" s="16" t="s">
        <v>1423</v>
      </c>
      <c r="L43" s="16"/>
      <c r="M43" s="14" t="s">
        <v>352</v>
      </c>
      <c r="N43" s="13" t="s">
        <v>778</v>
      </c>
      <c r="O43" s="13" t="s">
        <v>1295</v>
      </c>
    </row>
    <row r="44" customFormat="false" ht="15" hidden="false" customHeight="false" outlineLevel="0" collapsed="false">
      <c r="A44" s="13" t="s">
        <v>1456</v>
      </c>
      <c r="B44" s="13" t="s">
        <v>1288</v>
      </c>
      <c r="C44" s="14" t="s">
        <v>1310</v>
      </c>
      <c r="D44" s="14" t="s">
        <v>1419</v>
      </c>
      <c r="E44" s="14" t="s">
        <v>1457</v>
      </c>
      <c r="F44" s="16" t="s">
        <v>1458</v>
      </c>
      <c r="G44" s="16" t="s">
        <v>1459</v>
      </c>
      <c r="H44" s="14" t="n">
        <v>0</v>
      </c>
      <c r="I44" s="14" t="n">
        <v>2</v>
      </c>
      <c r="J44" s="14"/>
      <c r="K44" s="16" t="s">
        <v>1423</v>
      </c>
      <c r="L44" s="16"/>
      <c r="M44" s="14" t="s">
        <v>352</v>
      </c>
      <c r="N44" s="13" t="s">
        <v>778</v>
      </c>
      <c r="O44" s="13" t="s">
        <v>1295</v>
      </c>
    </row>
    <row r="45" customFormat="false" ht="15" hidden="false" customHeight="false" outlineLevel="0" collapsed="false">
      <c r="A45" s="13" t="s">
        <v>1460</v>
      </c>
      <c r="B45" s="13" t="s">
        <v>1288</v>
      </c>
      <c r="C45" s="14" t="s">
        <v>1289</v>
      </c>
      <c r="D45" s="14" t="s">
        <v>1419</v>
      </c>
      <c r="E45" s="14" t="s">
        <v>1461</v>
      </c>
      <c r="F45" s="16" t="s">
        <v>1462</v>
      </c>
      <c r="G45" s="16" t="s">
        <v>1463</v>
      </c>
      <c r="H45" s="14" t="n">
        <v>3</v>
      </c>
      <c r="I45" s="14"/>
      <c r="J45" s="14"/>
      <c r="K45" s="16" t="s">
        <v>1423</v>
      </c>
      <c r="L45" s="16"/>
      <c r="M45" s="14" t="s">
        <v>352</v>
      </c>
      <c r="N45" s="13" t="s">
        <v>778</v>
      </c>
      <c r="O45" s="13" t="s">
        <v>1295</v>
      </c>
    </row>
    <row r="46" customFormat="false" ht="15" hidden="false" customHeight="false" outlineLevel="0" collapsed="false">
      <c r="A46" s="13" t="s">
        <v>1464</v>
      </c>
      <c r="B46" s="13" t="s">
        <v>1288</v>
      </c>
      <c r="C46" s="14" t="s">
        <v>1289</v>
      </c>
      <c r="D46" s="14" t="s">
        <v>1419</v>
      </c>
      <c r="E46" s="14" t="s">
        <v>1465</v>
      </c>
      <c r="F46" s="16" t="s">
        <v>1466</v>
      </c>
      <c r="G46" s="16" t="s">
        <v>1467</v>
      </c>
      <c r="H46" s="14" t="n">
        <v>6</v>
      </c>
      <c r="I46" s="14" t="n">
        <v>1</v>
      </c>
      <c r="J46" s="14"/>
      <c r="K46" s="16" t="s">
        <v>1423</v>
      </c>
      <c r="L46" s="16"/>
      <c r="M46" s="14" t="s">
        <v>352</v>
      </c>
      <c r="N46" s="13" t="s">
        <v>778</v>
      </c>
      <c r="O46" s="13" t="s">
        <v>1295</v>
      </c>
    </row>
    <row r="47" customFormat="false" ht="15" hidden="false" customHeight="false" outlineLevel="0" collapsed="false">
      <c r="A47" s="13" t="s">
        <v>1468</v>
      </c>
      <c r="B47" s="13" t="s">
        <v>1288</v>
      </c>
      <c r="C47" s="14" t="s">
        <v>847</v>
      </c>
      <c r="D47" s="14" t="s">
        <v>1469</v>
      </c>
      <c r="E47" s="14" t="s">
        <v>1470</v>
      </c>
      <c r="F47" s="16" t="s">
        <v>1471</v>
      </c>
      <c r="G47" s="16" t="s">
        <v>1472</v>
      </c>
      <c r="H47" s="14" t="n">
        <v>10</v>
      </c>
      <c r="I47" s="14"/>
      <c r="J47" s="14"/>
      <c r="K47" s="16" t="s">
        <v>1473</v>
      </c>
      <c r="L47" s="16"/>
      <c r="M47" s="14"/>
      <c r="N47" s="13" t="s">
        <v>778</v>
      </c>
      <c r="O47" s="13" t="s">
        <v>1295</v>
      </c>
    </row>
    <row r="48" customFormat="false" ht="15" hidden="false" customHeight="false" outlineLevel="0" collapsed="false">
      <c r="A48" s="13" t="s">
        <v>1474</v>
      </c>
      <c r="B48" s="13" t="s">
        <v>1288</v>
      </c>
      <c r="C48" s="14" t="s">
        <v>847</v>
      </c>
      <c r="D48" s="14" t="s">
        <v>1469</v>
      </c>
      <c r="E48" s="14" t="s">
        <v>1475</v>
      </c>
      <c r="F48" s="16" t="s">
        <v>1476</v>
      </c>
      <c r="G48" s="16" t="s">
        <v>1477</v>
      </c>
      <c r="H48" s="14" t="n">
        <v>80</v>
      </c>
      <c r="I48" s="14"/>
      <c r="J48" s="14"/>
      <c r="K48" s="16" t="s">
        <v>1473</v>
      </c>
      <c r="L48" s="16"/>
      <c r="M48" s="14"/>
      <c r="N48" s="13" t="s">
        <v>778</v>
      </c>
      <c r="O48" s="13" t="s">
        <v>1295</v>
      </c>
    </row>
    <row r="49" customFormat="false" ht="15" hidden="false" customHeight="false" outlineLevel="0" collapsed="false">
      <c r="A49" s="13" t="s">
        <v>1478</v>
      </c>
      <c r="B49" s="13" t="s">
        <v>1288</v>
      </c>
      <c r="C49" s="14" t="s">
        <v>847</v>
      </c>
      <c r="D49" s="14" t="s">
        <v>1469</v>
      </c>
      <c r="E49" s="14" t="s">
        <v>1479</v>
      </c>
      <c r="F49" s="16" t="s">
        <v>1480</v>
      </c>
      <c r="G49" s="16" t="s">
        <v>1481</v>
      </c>
      <c r="H49" s="14" t="n">
        <v>0</v>
      </c>
      <c r="I49" s="14" t="n">
        <v>6</v>
      </c>
      <c r="J49" s="14"/>
      <c r="K49" s="16" t="s">
        <v>1473</v>
      </c>
      <c r="L49" s="16"/>
      <c r="M49" s="14"/>
      <c r="N49" s="13" t="s">
        <v>778</v>
      </c>
      <c r="O49" s="13" t="s">
        <v>1295</v>
      </c>
    </row>
    <row r="50" customFormat="false" ht="15" hidden="false" customHeight="false" outlineLevel="0" collapsed="false">
      <c r="A50" s="13" t="s">
        <v>1482</v>
      </c>
      <c r="B50" s="13" t="s">
        <v>1288</v>
      </c>
      <c r="C50" s="14" t="s">
        <v>847</v>
      </c>
      <c r="D50" s="14" t="s">
        <v>1469</v>
      </c>
      <c r="E50" s="14" t="s">
        <v>1483</v>
      </c>
      <c r="F50" s="16" t="s">
        <v>1484</v>
      </c>
      <c r="G50" s="16" t="s">
        <v>1485</v>
      </c>
      <c r="H50" s="14" t="n">
        <v>40</v>
      </c>
      <c r="I50" s="14"/>
      <c r="J50" s="14"/>
      <c r="K50" s="16" t="s">
        <v>1473</v>
      </c>
      <c r="L50" s="16"/>
      <c r="M50" s="14"/>
      <c r="N50" s="13" t="s">
        <v>778</v>
      </c>
      <c r="O50" s="13" t="s">
        <v>1295</v>
      </c>
    </row>
    <row r="51" customFormat="false" ht="15" hidden="false" customHeight="false" outlineLevel="0" collapsed="false">
      <c r="A51" s="13" t="s">
        <v>1486</v>
      </c>
      <c r="B51" s="13" t="s">
        <v>1288</v>
      </c>
      <c r="C51" s="14" t="s">
        <v>847</v>
      </c>
      <c r="D51" s="14" t="s">
        <v>1469</v>
      </c>
      <c r="E51" s="14" t="s">
        <v>1487</v>
      </c>
      <c r="F51" s="16" t="s">
        <v>1488</v>
      </c>
      <c r="G51" s="16" t="s">
        <v>1489</v>
      </c>
      <c r="H51" s="14" t="n">
        <v>3</v>
      </c>
      <c r="I51" s="14"/>
      <c r="J51" s="14"/>
      <c r="K51" s="16" t="s">
        <v>1473</v>
      </c>
      <c r="L51" s="16"/>
      <c r="M51" s="14"/>
      <c r="N51" s="13" t="s">
        <v>778</v>
      </c>
      <c r="O51" s="13" t="s">
        <v>1295</v>
      </c>
    </row>
    <row r="52" customFormat="false" ht="15" hidden="false" customHeight="false" outlineLevel="0" collapsed="false">
      <c r="A52" s="13" t="s">
        <v>1490</v>
      </c>
      <c r="B52" s="13" t="s">
        <v>1288</v>
      </c>
      <c r="C52" s="14" t="s">
        <v>847</v>
      </c>
      <c r="D52" s="14" t="s">
        <v>1469</v>
      </c>
      <c r="E52" s="14" t="s">
        <v>1491</v>
      </c>
      <c r="F52" s="16" t="s">
        <v>1492</v>
      </c>
      <c r="G52" s="16" t="s">
        <v>1493</v>
      </c>
      <c r="H52" s="14" t="n">
        <v>0</v>
      </c>
      <c r="I52" s="14" t="n">
        <v>8</v>
      </c>
      <c r="J52" s="14"/>
      <c r="K52" s="16" t="s">
        <v>1473</v>
      </c>
      <c r="L52" s="16"/>
      <c r="M52" s="14"/>
      <c r="N52" s="13" t="s">
        <v>778</v>
      </c>
      <c r="O52" s="13" t="s">
        <v>1295</v>
      </c>
    </row>
    <row r="53" customFormat="false" ht="15" hidden="false" customHeight="false" outlineLevel="0" collapsed="false">
      <c r="A53" s="13" t="s">
        <v>1494</v>
      </c>
      <c r="B53" s="13" t="s">
        <v>1288</v>
      </c>
      <c r="C53" s="14" t="s">
        <v>847</v>
      </c>
      <c r="D53" s="14" t="s">
        <v>1469</v>
      </c>
      <c r="E53" s="14" t="s">
        <v>1495</v>
      </c>
      <c r="F53" s="16" t="s">
        <v>1496</v>
      </c>
      <c r="G53" s="16" t="s">
        <v>1497</v>
      </c>
      <c r="H53" s="14" t="n">
        <v>2</v>
      </c>
      <c r="I53" s="14"/>
      <c r="J53" s="14"/>
      <c r="K53" s="16" t="s">
        <v>1473</v>
      </c>
      <c r="L53" s="16"/>
      <c r="M53" s="14"/>
      <c r="N53" s="13" t="s">
        <v>778</v>
      </c>
      <c r="O53" s="13" t="s">
        <v>1295</v>
      </c>
    </row>
    <row r="54" customFormat="false" ht="15" hidden="false" customHeight="false" outlineLevel="0" collapsed="false">
      <c r="A54" s="13" t="s">
        <v>1498</v>
      </c>
      <c r="B54" s="13" t="s">
        <v>1288</v>
      </c>
      <c r="C54" s="14" t="s">
        <v>847</v>
      </c>
      <c r="D54" s="14" t="s">
        <v>1469</v>
      </c>
      <c r="E54" s="14" t="s">
        <v>1499</v>
      </c>
      <c r="F54" s="16" t="s">
        <v>1500</v>
      </c>
      <c r="G54" s="16" t="s">
        <v>1501</v>
      </c>
      <c r="H54" s="14" t="n">
        <v>15</v>
      </c>
      <c r="I54" s="14"/>
      <c r="J54" s="14"/>
      <c r="K54" s="16" t="s">
        <v>1473</v>
      </c>
      <c r="L54" s="16"/>
      <c r="M54" s="14"/>
      <c r="N54" s="13" t="s">
        <v>778</v>
      </c>
      <c r="O54" s="13" t="s">
        <v>1295</v>
      </c>
    </row>
    <row r="55" customFormat="false" ht="15" hidden="false" customHeight="false" outlineLevel="0" collapsed="false">
      <c r="A55" s="13" t="s">
        <v>1502</v>
      </c>
      <c r="B55" s="13" t="s">
        <v>1288</v>
      </c>
      <c r="C55" s="14" t="s">
        <v>847</v>
      </c>
      <c r="D55" s="14" t="s">
        <v>1469</v>
      </c>
      <c r="E55" s="14" t="s">
        <v>1503</v>
      </c>
      <c r="F55" s="16" t="s">
        <v>1504</v>
      </c>
      <c r="G55" s="16" t="s">
        <v>1505</v>
      </c>
      <c r="H55" s="14" t="n">
        <v>22</v>
      </c>
      <c r="I55" s="14"/>
      <c r="J55" s="14"/>
      <c r="K55" s="16" t="s">
        <v>1473</v>
      </c>
      <c r="L55" s="16"/>
      <c r="M55" s="14"/>
      <c r="N55" s="13" t="s">
        <v>778</v>
      </c>
      <c r="O55" s="13" t="s">
        <v>1295</v>
      </c>
    </row>
    <row r="56" customFormat="false" ht="15" hidden="false" customHeight="false" outlineLevel="0" collapsed="false">
      <c r="A56" s="13" t="s">
        <v>1506</v>
      </c>
      <c r="B56" s="13" t="s">
        <v>1288</v>
      </c>
      <c r="C56" s="14" t="s">
        <v>847</v>
      </c>
      <c r="D56" s="14" t="s">
        <v>1469</v>
      </c>
      <c r="E56" s="14" t="s">
        <v>1507</v>
      </c>
      <c r="F56" s="16" t="s">
        <v>1508</v>
      </c>
      <c r="G56" s="16" t="s">
        <v>1509</v>
      </c>
      <c r="H56" s="14" t="n">
        <v>0</v>
      </c>
      <c r="I56" s="14" t="n">
        <v>3</v>
      </c>
      <c r="J56" s="14"/>
      <c r="K56" s="16" t="s">
        <v>1473</v>
      </c>
      <c r="L56" s="16"/>
      <c r="M56" s="14"/>
      <c r="N56" s="13" t="s">
        <v>778</v>
      </c>
      <c r="O56" s="13" t="s">
        <v>1295</v>
      </c>
    </row>
    <row r="57" customFormat="false" ht="15" hidden="false" customHeight="false" outlineLevel="0" collapsed="false">
      <c r="A57" s="13" t="s">
        <v>1510</v>
      </c>
      <c r="B57" s="13" t="s">
        <v>1288</v>
      </c>
      <c r="C57" s="14" t="s">
        <v>847</v>
      </c>
      <c r="D57" s="14" t="s">
        <v>1469</v>
      </c>
      <c r="E57" s="14" t="s">
        <v>1511</v>
      </c>
      <c r="F57" s="16" t="s">
        <v>1512</v>
      </c>
      <c r="G57" s="16" t="s">
        <v>1513</v>
      </c>
      <c r="H57" s="14" t="n">
        <v>6</v>
      </c>
      <c r="I57" s="14"/>
      <c r="J57" s="14"/>
      <c r="K57" s="16" t="s">
        <v>1473</v>
      </c>
      <c r="L57" s="16"/>
      <c r="M57" s="14"/>
      <c r="N57" s="13" t="s">
        <v>778</v>
      </c>
      <c r="O57" s="13" t="s">
        <v>1295</v>
      </c>
    </row>
    <row r="58" customFormat="false" ht="15" hidden="false" customHeight="false" outlineLevel="0" collapsed="false">
      <c r="A58" s="13" t="s">
        <v>1514</v>
      </c>
      <c r="B58" s="13" t="s">
        <v>1288</v>
      </c>
      <c r="C58" s="14" t="s">
        <v>847</v>
      </c>
      <c r="D58" s="14" t="s">
        <v>1469</v>
      </c>
      <c r="E58" s="14" t="s">
        <v>1515</v>
      </c>
      <c r="F58" s="16" t="s">
        <v>1516</v>
      </c>
      <c r="G58" s="16" t="s">
        <v>1517</v>
      </c>
      <c r="H58" s="14" t="n">
        <v>0</v>
      </c>
      <c r="I58" s="14" t="n">
        <v>5</v>
      </c>
      <c r="J58" s="14"/>
      <c r="K58" s="16" t="s">
        <v>1473</v>
      </c>
      <c r="L58" s="16"/>
      <c r="M58" s="14"/>
      <c r="N58" s="13" t="s">
        <v>778</v>
      </c>
      <c r="O58" s="13" t="s">
        <v>1295</v>
      </c>
    </row>
    <row r="59" customFormat="false" ht="15" hidden="false" customHeight="false" outlineLevel="0" collapsed="false">
      <c r="A59" s="13" t="s">
        <v>1518</v>
      </c>
      <c r="B59" s="13" t="s">
        <v>1288</v>
      </c>
      <c r="C59" s="14" t="s">
        <v>1289</v>
      </c>
      <c r="D59" s="14" t="s">
        <v>1290</v>
      </c>
      <c r="E59" s="14" t="s">
        <v>1519</v>
      </c>
      <c r="F59" s="16" t="s">
        <v>1520</v>
      </c>
      <c r="G59" s="16" t="s">
        <v>1521</v>
      </c>
      <c r="H59" s="14" t="n">
        <v>6</v>
      </c>
      <c r="I59" s="14"/>
      <c r="J59" s="14"/>
      <c r="K59" s="16" t="s">
        <v>1294</v>
      </c>
      <c r="L59" s="16"/>
      <c r="M59" s="14"/>
      <c r="N59" s="13" t="s">
        <v>778</v>
      </c>
      <c r="O59" s="13" t="s">
        <v>1295</v>
      </c>
    </row>
    <row r="60" customFormat="false" ht="15" hidden="false" customHeight="false" outlineLevel="0" collapsed="false">
      <c r="A60" s="13" t="s">
        <v>1522</v>
      </c>
      <c r="B60" s="13" t="s">
        <v>1288</v>
      </c>
      <c r="C60" s="14" t="s">
        <v>1319</v>
      </c>
      <c r="D60" s="14" t="s">
        <v>1290</v>
      </c>
      <c r="E60" s="14" t="s">
        <v>1523</v>
      </c>
      <c r="F60" s="16" t="s">
        <v>1524</v>
      </c>
      <c r="G60" s="16" t="s">
        <v>1525</v>
      </c>
      <c r="H60" s="14" t="n">
        <v>5</v>
      </c>
      <c r="I60" s="14"/>
      <c r="J60" s="14"/>
      <c r="K60" s="16" t="s">
        <v>1294</v>
      </c>
      <c r="L60" s="16"/>
      <c r="M60" s="14"/>
      <c r="N60" s="13" t="s">
        <v>778</v>
      </c>
      <c r="O60" s="13" t="s">
        <v>1295</v>
      </c>
    </row>
    <row r="61" customFormat="false" ht="15" hidden="false" customHeight="false" outlineLevel="0" collapsed="false">
      <c r="A61" s="13" t="s">
        <v>1526</v>
      </c>
      <c r="B61" s="13" t="s">
        <v>1288</v>
      </c>
      <c r="C61" s="14" t="s">
        <v>1289</v>
      </c>
      <c r="D61" s="14" t="s">
        <v>1290</v>
      </c>
      <c r="E61" s="14" t="s">
        <v>1527</v>
      </c>
      <c r="F61" s="16" t="s">
        <v>1528</v>
      </c>
      <c r="G61" s="16" t="s">
        <v>1529</v>
      </c>
      <c r="H61" s="14" t="n">
        <v>7</v>
      </c>
      <c r="I61" s="14"/>
      <c r="J61" s="14"/>
      <c r="K61" s="16" t="s">
        <v>1294</v>
      </c>
      <c r="L61" s="16"/>
      <c r="M61" s="14"/>
      <c r="N61" s="13" t="s">
        <v>778</v>
      </c>
      <c r="O61" s="13" t="s">
        <v>1295</v>
      </c>
    </row>
    <row r="62" customFormat="false" ht="15" hidden="false" customHeight="false" outlineLevel="0" collapsed="false">
      <c r="A62" s="13" t="s">
        <v>1530</v>
      </c>
      <c r="B62" s="13" t="s">
        <v>1288</v>
      </c>
      <c r="C62" s="14" t="s">
        <v>1324</v>
      </c>
      <c r="D62" s="14" t="s">
        <v>1290</v>
      </c>
      <c r="E62" s="14" t="s">
        <v>1531</v>
      </c>
      <c r="F62" s="16" t="s">
        <v>1532</v>
      </c>
      <c r="G62" s="16" t="s">
        <v>1533</v>
      </c>
      <c r="H62" s="14" t="n">
        <v>0</v>
      </c>
      <c r="I62" s="14" t="n">
        <v>1</v>
      </c>
      <c r="J62" s="14"/>
      <c r="K62" s="16" t="s">
        <v>1294</v>
      </c>
      <c r="L62" s="16"/>
      <c r="M62" s="14"/>
      <c r="N62" s="13" t="s">
        <v>778</v>
      </c>
      <c r="O62" s="13" t="s">
        <v>1295</v>
      </c>
    </row>
    <row r="63" customFormat="false" ht="15" hidden="false" customHeight="false" outlineLevel="0" collapsed="false">
      <c r="A63" s="13" t="s">
        <v>1534</v>
      </c>
      <c r="B63" s="13" t="s">
        <v>1288</v>
      </c>
      <c r="C63" s="14" t="s">
        <v>1310</v>
      </c>
      <c r="D63" s="14" t="s">
        <v>1290</v>
      </c>
      <c r="E63" s="14" t="s">
        <v>1535</v>
      </c>
      <c r="F63" s="16" t="s">
        <v>1536</v>
      </c>
      <c r="G63" s="16" t="s">
        <v>1537</v>
      </c>
      <c r="H63" s="14" t="n">
        <v>2</v>
      </c>
      <c r="I63" s="14"/>
      <c r="J63" s="14"/>
      <c r="K63" s="16" t="s">
        <v>1294</v>
      </c>
      <c r="L63" s="16"/>
      <c r="M63" s="14"/>
      <c r="N63" s="13" t="s">
        <v>778</v>
      </c>
      <c r="O63" s="13" t="s">
        <v>1295</v>
      </c>
    </row>
    <row r="64" customFormat="false" ht="15" hidden="false" customHeight="false" outlineLevel="0" collapsed="false">
      <c r="A64" s="13" t="s">
        <v>1538</v>
      </c>
      <c r="B64" s="13" t="s">
        <v>1288</v>
      </c>
      <c r="C64" s="14" t="s">
        <v>1289</v>
      </c>
      <c r="D64" s="14" t="s">
        <v>1290</v>
      </c>
      <c r="E64" s="14" t="s">
        <v>1539</v>
      </c>
      <c r="F64" s="16" t="s">
        <v>1540</v>
      </c>
      <c r="G64" s="16" t="s">
        <v>1541</v>
      </c>
      <c r="H64" s="14" t="n">
        <v>3</v>
      </c>
      <c r="I64" s="14"/>
      <c r="J64" s="14"/>
      <c r="K64" s="16" t="s">
        <v>1294</v>
      </c>
      <c r="L64" s="16"/>
      <c r="M64" s="14"/>
      <c r="N64" s="13" t="s">
        <v>778</v>
      </c>
      <c r="O64" s="13" t="s">
        <v>1295</v>
      </c>
    </row>
    <row r="65" customFormat="false" ht="15" hidden="false" customHeight="false" outlineLevel="0" collapsed="false">
      <c r="A65" s="13" t="s">
        <v>1542</v>
      </c>
      <c r="B65" s="13" t="s">
        <v>1288</v>
      </c>
      <c r="C65" s="14" t="s">
        <v>1319</v>
      </c>
      <c r="D65" s="14" t="s">
        <v>1290</v>
      </c>
      <c r="E65" s="14" t="s">
        <v>1543</v>
      </c>
      <c r="F65" s="16" t="s">
        <v>1544</v>
      </c>
      <c r="G65" s="16" t="s">
        <v>1545</v>
      </c>
      <c r="H65" s="14" t="n">
        <v>0</v>
      </c>
      <c r="I65" s="14"/>
      <c r="J65" s="14"/>
      <c r="K65" s="16" t="s">
        <v>1294</v>
      </c>
      <c r="L65" s="16"/>
      <c r="M65" s="14"/>
      <c r="N65" s="13" t="s">
        <v>778</v>
      </c>
      <c r="O65" s="13" t="s">
        <v>1295</v>
      </c>
    </row>
    <row r="66" customFormat="false" ht="15" hidden="false" customHeight="false" outlineLevel="0" collapsed="false">
      <c r="A66" s="13" t="s">
        <v>1546</v>
      </c>
      <c r="B66" s="13" t="s">
        <v>1288</v>
      </c>
      <c r="C66" s="14" t="s">
        <v>1310</v>
      </c>
      <c r="D66" s="14" t="s">
        <v>1357</v>
      </c>
      <c r="E66" s="14" t="s">
        <v>1547</v>
      </c>
      <c r="F66" s="16" t="s">
        <v>1548</v>
      </c>
      <c r="G66" s="16" t="s">
        <v>1549</v>
      </c>
      <c r="H66" s="14" t="n">
        <v>2</v>
      </c>
      <c r="I66" s="14"/>
      <c r="J66" s="14"/>
      <c r="K66" s="16" t="s">
        <v>1361</v>
      </c>
      <c r="L66" s="16"/>
      <c r="M66" s="14"/>
      <c r="N66" s="13" t="s">
        <v>778</v>
      </c>
      <c r="O66" s="13" t="s">
        <v>1295</v>
      </c>
    </row>
    <row r="67" customFormat="false" ht="15" hidden="false" customHeight="false" outlineLevel="0" collapsed="false">
      <c r="A67" s="13" t="s">
        <v>1550</v>
      </c>
      <c r="B67" s="13" t="s">
        <v>1288</v>
      </c>
      <c r="C67" s="14" t="s">
        <v>1319</v>
      </c>
      <c r="D67" s="14" t="s">
        <v>1357</v>
      </c>
      <c r="E67" s="14" t="s">
        <v>1551</v>
      </c>
      <c r="F67" s="16" t="s">
        <v>1552</v>
      </c>
      <c r="G67" s="16" t="s">
        <v>1553</v>
      </c>
      <c r="H67" s="14" t="n">
        <v>0</v>
      </c>
      <c r="I67" s="14"/>
      <c r="J67" s="14"/>
      <c r="K67" s="16" t="s">
        <v>1361</v>
      </c>
      <c r="L67" s="16"/>
      <c r="M67" s="14"/>
      <c r="N67" s="13" t="s">
        <v>778</v>
      </c>
      <c r="O67" s="13" t="s">
        <v>1295</v>
      </c>
    </row>
    <row r="68" customFormat="false" ht="15" hidden="false" customHeight="false" outlineLevel="0" collapsed="false">
      <c r="A68" s="13" t="s">
        <v>1554</v>
      </c>
      <c r="B68" s="13" t="s">
        <v>1288</v>
      </c>
      <c r="C68" s="14" t="s">
        <v>1324</v>
      </c>
      <c r="D68" s="14" t="s">
        <v>1357</v>
      </c>
      <c r="E68" s="14" t="s">
        <v>1555</v>
      </c>
      <c r="F68" s="16" t="s">
        <v>1556</v>
      </c>
      <c r="G68" s="16" t="s">
        <v>1557</v>
      </c>
      <c r="H68" s="14" t="n">
        <v>3</v>
      </c>
      <c r="I68" s="14"/>
      <c r="J68" s="14"/>
      <c r="K68" s="16" t="s">
        <v>1361</v>
      </c>
      <c r="L68" s="16"/>
      <c r="M68" s="14"/>
      <c r="N68" s="13" t="s">
        <v>778</v>
      </c>
      <c r="O68" s="13" t="s">
        <v>1295</v>
      </c>
    </row>
    <row r="69" customFormat="false" ht="15" hidden="false" customHeight="false" outlineLevel="0" collapsed="false">
      <c r="A69" s="13" t="s">
        <v>1558</v>
      </c>
      <c r="B69" s="13" t="s">
        <v>1288</v>
      </c>
      <c r="C69" s="14" t="s">
        <v>1289</v>
      </c>
      <c r="D69" s="14" t="s">
        <v>1357</v>
      </c>
      <c r="E69" s="14" t="s">
        <v>1559</v>
      </c>
      <c r="F69" s="16" t="s">
        <v>1560</v>
      </c>
      <c r="G69" s="16" t="s">
        <v>1561</v>
      </c>
      <c r="H69" s="14" t="n">
        <v>0</v>
      </c>
      <c r="I69" s="14"/>
      <c r="J69" s="14"/>
      <c r="K69" s="16" t="s">
        <v>1361</v>
      </c>
      <c r="L69" s="16"/>
      <c r="M69" s="14"/>
      <c r="N69" s="13" t="s">
        <v>778</v>
      </c>
      <c r="O69" s="13" t="s">
        <v>1295</v>
      </c>
    </row>
    <row r="70" customFormat="false" ht="15" hidden="false" customHeight="false" outlineLevel="0" collapsed="false">
      <c r="A70" s="13" t="s">
        <v>1562</v>
      </c>
      <c r="B70" s="13" t="s">
        <v>1288</v>
      </c>
      <c r="C70" s="14" t="s">
        <v>1319</v>
      </c>
      <c r="D70" s="14" t="s">
        <v>1357</v>
      </c>
      <c r="E70" s="14" t="s">
        <v>1563</v>
      </c>
      <c r="F70" s="16" t="s">
        <v>1564</v>
      </c>
      <c r="G70" s="16" t="s">
        <v>1565</v>
      </c>
      <c r="H70" s="14" t="n">
        <v>0</v>
      </c>
      <c r="I70" s="14"/>
      <c r="J70" s="14"/>
      <c r="K70" s="16" t="s">
        <v>1361</v>
      </c>
      <c r="L70" s="16"/>
      <c r="M70" s="14"/>
      <c r="N70" s="13" t="s">
        <v>778</v>
      </c>
      <c r="O70" s="13" t="s">
        <v>1295</v>
      </c>
    </row>
    <row r="71" customFormat="false" ht="15" hidden="false" customHeight="false" outlineLevel="0" collapsed="false">
      <c r="A71" s="13" t="s">
        <v>1566</v>
      </c>
      <c r="B71" s="13" t="s">
        <v>1288</v>
      </c>
      <c r="C71" s="14" t="s">
        <v>1310</v>
      </c>
      <c r="D71" s="14" t="s">
        <v>1357</v>
      </c>
      <c r="E71" s="14" t="s">
        <v>1567</v>
      </c>
      <c r="F71" s="16" t="s">
        <v>1568</v>
      </c>
      <c r="G71" s="16" t="s">
        <v>1569</v>
      </c>
      <c r="H71" s="14" t="n">
        <v>4</v>
      </c>
      <c r="I71" s="14"/>
      <c r="J71" s="14"/>
      <c r="K71" s="16" t="s">
        <v>1361</v>
      </c>
      <c r="L71" s="16"/>
      <c r="M71" s="14"/>
      <c r="N71" s="13" t="s">
        <v>778</v>
      </c>
      <c r="O71" s="13" t="s">
        <v>1295</v>
      </c>
    </row>
    <row r="72" customFormat="false" ht="15" hidden="false" customHeight="false" outlineLevel="0" collapsed="false">
      <c r="A72" s="13" t="s">
        <v>1570</v>
      </c>
      <c r="B72" s="13" t="s">
        <v>1288</v>
      </c>
      <c r="C72" s="14" t="s">
        <v>1324</v>
      </c>
      <c r="D72" s="14" t="s">
        <v>1357</v>
      </c>
      <c r="E72" s="14" t="s">
        <v>1571</v>
      </c>
      <c r="F72" s="16" t="s">
        <v>1572</v>
      </c>
      <c r="G72" s="16" t="s">
        <v>1573</v>
      </c>
      <c r="H72" s="14" t="n">
        <v>2</v>
      </c>
      <c r="I72" s="14"/>
      <c r="J72" s="14"/>
      <c r="K72" s="16" t="s">
        <v>1361</v>
      </c>
      <c r="L72" s="16"/>
      <c r="M72" s="14"/>
      <c r="N72" s="13" t="s">
        <v>778</v>
      </c>
      <c r="O72" s="13" t="s">
        <v>1295</v>
      </c>
    </row>
    <row r="73" customFormat="false" ht="15" hidden="false" customHeight="false" outlineLevel="0" collapsed="false">
      <c r="A73" s="13" t="s">
        <v>1574</v>
      </c>
      <c r="B73" s="13" t="s">
        <v>1288</v>
      </c>
      <c r="C73" s="14" t="s">
        <v>1289</v>
      </c>
      <c r="D73" s="14" t="s">
        <v>1419</v>
      </c>
      <c r="E73" s="14" t="s">
        <v>1575</v>
      </c>
      <c r="F73" s="16" t="s">
        <v>1576</v>
      </c>
      <c r="G73" s="16" t="s">
        <v>1577</v>
      </c>
      <c r="H73" s="14" t="n">
        <v>3</v>
      </c>
      <c r="I73" s="14"/>
      <c r="J73" s="14"/>
      <c r="K73" s="16" t="s">
        <v>1423</v>
      </c>
      <c r="L73" s="16"/>
      <c r="M73" s="14" t="s">
        <v>352</v>
      </c>
      <c r="N73" s="13" t="s">
        <v>778</v>
      </c>
      <c r="O73" s="13" t="s">
        <v>1295</v>
      </c>
    </row>
    <row r="74" customFormat="false" ht="15" hidden="false" customHeight="false" outlineLevel="0" collapsed="false">
      <c r="A74" s="13" t="s">
        <v>1578</v>
      </c>
      <c r="B74" s="13" t="s">
        <v>1288</v>
      </c>
      <c r="C74" s="14" t="s">
        <v>1310</v>
      </c>
      <c r="D74" s="14" t="s">
        <v>1419</v>
      </c>
      <c r="E74" s="14" t="s">
        <v>1579</v>
      </c>
      <c r="F74" s="16" t="s">
        <v>1580</v>
      </c>
      <c r="G74" s="16" t="s">
        <v>1581</v>
      </c>
      <c r="H74" s="14" t="n">
        <v>4</v>
      </c>
      <c r="I74" s="14"/>
      <c r="J74" s="14"/>
      <c r="K74" s="16" t="s">
        <v>1423</v>
      </c>
      <c r="L74" s="16"/>
      <c r="M74" s="14" t="s">
        <v>352</v>
      </c>
      <c r="N74" s="13" t="s">
        <v>778</v>
      </c>
      <c r="O74" s="13" t="s">
        <v>1295</v>
      </c>
    </row>
    <row r="75" customFormat="false" ht="15" hidden="false" customHeight="false" outlineLevel="0" collapsed="false">
      <c r="A75" s="13" t="s">
        <v>1582</v>
      </c>
      <c r="B75" s="13" t="s">
        <v>1288</v>
      </c>
      <c r="C75" s="14" t="s">
        <v>1319</v>
      </c>
      <c r="D75" s="14" t="s">
        <v>1419</v>
      </c>
      <c r="E75" s="14" t="s">
        <v>1583</v>
      </c>
      <c r="F75" s="16" t="s">
        <v>1584</v>
      </c>
      <c r="G75" s="16" t="s">
        <v>1585</v>
      </c>
      <c r="H75" s="14" t="n">
        <v>0</v>
      </c>
      <c r="I75" s="14" t="n">
        <v>1</v>
      </c>
      <c r="J75" s="14"/>
      <c r="K75" s="16" t="s">
        <v>1423</v>
      </c>
      <c r="L75" s="16"/>
      <c r="M75" s="14" t="s">
        <v>352</v>
      </c>
      <c r="N75" s="13" t="s">
        <v>778</v>
      </c>
      <c r="O75" s="13" t="s">
        <v>1295</v>
      </c>
    </row>
    <row r="76" customFormat="false" ht="15" hidden="false" customHeight="false" outlineLevel="0" collapsed="false">
      <c r="A76" s="13" t="s">
        <v>1586</v>
      </c>
      <c r="B76" s="13" t="s">
        <v>1288</v>
      </c>
      <c r="C76" s="14" t="s">
        <v>1289</v>
      </c>
      <c r="D76" s="14" t="s">
        <v>1419</v>
      </c>
      <c r="E76" s="14" t="s">
        <v>1587</v>
      </c>
      <c r="F76" s="16" t="s">
        <v>1588</v>
      </c>
      <c r="G76" s="16" t="s">
        <v>1589</v>
      </c>
      <c r="H76" s="14" t="n">
        <v>0</v>
      </c>
      <c r="I76" s="14"/>
      <c r="J76" s="14"/>
      <c r="K76" s="16" t="s">
        <v>1423</v>
      </c>
      <c r="L76" s="16"/>
      <c r="M76" s="14" t="s">
        <v>352</v>
      </c>
      <c r="N76" s="13" t="s">
        <v>778</v>
      </c>
      <c r="O76" s="13" t="s">
        <v>1295</v>
      </c>
    </row>
    <row r="77" customFormat="false" ht="15" hidden="false" customHeight="false" outlineLevel="0" collapsed="false">
      <c r="A77" s="13" t="s">
        <v>1590</v>
      </c>
      <c r="B77" s="13" t="s">
        <v>1288</v>
      </c>
      <c r="C77" s="14" t="s">
        <v>1324</v>
      </c>
      <c r="D77" s="14" t="s">
        <v>1419</v>
      </c>
      <c r="E77" s="14" t="s">
        <v>1591</v>
      </c>
      <c r="F77" s="16" t="s">
        <v>1592</v>
      </c>
      <c r="G77" s="16" t="s">
        <v>1593</v>
      </c>
      <c r="H77" s="14" t="n">
        <v>8</v>
      </c>
      <c r="I77" s="14"/>
      <c r="J77" s="14"/>
      <c r="K77" s="16" t="s">
        <v>1423</v>
      </c>
      <c r="L77" s="16"/>
      <c r="M77" s="14" t="s">
        <v>352</v>
      </c>
      <c r="N77" s="13" t="s">
        <v>778</v>
      </c>
      <c r="O77" s="13" t="s">
        <v>1295</v>
      </c>
    </row>
    <row r="78" customFormat="false" ht="15" hidden="false" customHeight="false" outlineLevel="0" collapsed="false">
      <c r="A78" s="13" t="s">
        <v>1594</v>
      </c>
      <c r="B78" s="13" t="s">
        <v>1288</v>
      </c>
      <c r="C78" s="14" t="s">
        <v>1289</v>
      </c>
      <c r="D78" s="14" t="s">
        <v>1419</v>
      </c>
      <c r="E78" s="14" t="s">
        <v>1595</v>
      </c>
      <c r="F78" s="16" t="s">
        <v>1596</v>
      </c>
      <c r="G78" s="16" t="s">
        <v>1597</v>
      </c>
      <c r="H78" s="14" t="n">
        <v>0</v>
      </c>
      <c r="I78" s="14"/>
      <c r="J78" s="14"/>
      <c r="K78" s="16" t="s">
        <v>1423</v>
      </c>
      <c r="L78" s="16"/>
      <c r="M78" s="14" t="s">
        <v>352</v>
      </c>
      <c r="N78" s="13" t="s">
        <v>778</v>
      </c>
      <c r="O78" s="13" t="s">
        <v>1295</v>
      </c>
    </row>
    <row r="79" customFormat="false" ht="15" hidden="false" customHeight="false" outlineLevel="0" collapsed="false">
      <c r="A79" s="13" t="s">
        <v>1598</v>
      </c>
      <c r="B79" s="13" t="s">
        <v>1288</v>
      </c>
      <c r="C79" s="14" t="s">
        <v>847</v>
      </c>
      <c r="D79" s="14" t="s">
        <v>1469</v>
      </c>
      <c r="E79" s="14" t="s">
        <v>1599</v>
      </c>
      <c r="F79" s="16" t="s">
        <v>1600</v>
      </c>
      <c r="G79" s="16" t="s">
        <v>1601</v>
      </c>
      <c r="H79" s="14" t="n">
        <v>6</v>
      </c>
      <c r="I79" s="14"/>
      <c r="J79" s="14"/>
      <c r="K79" s="16" t="s">
        <v>1473</v>
      </c>
      <c r="L79" s="16"/>
      <c r="M79" s="14"/>
      <c r="N79" s="13" t="s">
        <v>778</v>
      </c>
      <c r="O79" s="13" t="s">
        <v>1295</v>
      </c>
    </row>
    <row r="80" customFormat="false" ht="15" hidden="false" customHeight="false" outlineLevel="0" collapsed="false">
      <c r="A80" s="13" t="s">
        <v>1602</v>
      </c>
      <c r="B80" s="13" t="s">
        <v>1288</v>
      </c>
      <c r="C80" s="14" t="s">
        <v>847</v>
      </c>
      <c r="D80" s="14" t="s">
        <v>1469</v>
      </c>
      <c r="E80" s="14" t="s">
        <v>1603</v>
      </c>
      <c r="F80" s="16" t="s">
        <v>1604</v>
      </c>
      <c r="G80" s="16" t="s">
        <v>1605</v>
      </c>
      <c r="H80" s="14" t="n">
        <v>2</v>
      </c>
      <c r="I80" s="14"/>
      <c r="J80" s="14"/>
      <c r="K80" s="16" t="s">
        <v>1473</v>
      </c>
      <c r="L80" s="16"/>
      <c r="M80" s="14"/>
      <c r="N80" s="13" t="s">
        <v>778</v>
      </c>
      <c r="O80" s="13" t="s">
        <v>1295</v>
      </c>
    </row>
    <row r="81" customFormat="false" ht="15" hidden="false" customHeight="false" outlineLevel="0" collapsed="false">
      <c r="A81" s="13" t="s">
        <v>1606</v>
      </c>
      <c r="B81" s="13" t="s">
        <v>1288</v>
      </c>
      <c r="C81" s="14" t="s">
        <v>847</v>
      </c>
      <c r="D81" s="14" t="s">
        <v>1469</v>
      </c>
      <c r="E81" s="14" t="s">
        <v>1607</v>
      </c>
      <c r="F81" s="16" t="s">
        <v>1608</v>
      </c>
      <c r="G81" s="16" t="s">
        <v>1609</v>
      </c>
      <c r="H81" s="14" t="n">
        <v>1</v>
      </c>
      <c r="I81" s="14"/>
      <c r="J81" s="14"/>
      <c r="K81" s="16" t="s">
        <v>1473</v>
      </c>
      <c r="L81" s="16"/>
      <c r="M81" s="14"/>
      <c r="N81" s="13" t="s">
        <v>778</v>
      </c>
      <c r="O81" s="13" t="s">
        <v>1295</v>
      </c>
    </row>
    <row r="82" customFormat="false" ht="15" hidden="false" customHeight="false" outlineLevel="0" collapsed="false">
      <c r="A82" s="13" t="s">
        <v>1610</v>
      </c>
      <c r="B82" s="13" t="s">
        <v>1288</v>
      </c>
      <c r="C82" s="14" t="s">
        <v>847</v>
      </c>
      <c r="D82" s="14" t="s">
        <v>1469</v>
      </c>
      <c r="E82" s="14" t="s">
        <v>1611</v>
      </c>
      <c r="F82" s="16" t="s">
        <v>1612</v>
      </c>
      <c r="G82" s="16" t="s">
        <v>1613</v>
      </c>
      <c r="H82" s="14" t="n">
        <v>0</v>
      </c>
      <c r="I82" s="14" t="n">
        <v>1</v>
      </c>
      <c r="J82" s="14"/>
      <c r="K82" s="16" t="s">
        <v>1473</v>
      </c>
      <c r="L82" s="16"/>
      <c r="M82" s="14"/>
      <c r="N82" s="13" t="s">
        <v>778</v>
      </c>
      <c r="O82" s="13" t="s">
        <v>1295</v>
      </c>
    </row>
    <row r="83" customFormat="false" ht="15" hidden="false" customHeight="false" outlineLevel="0" collapsed="false">
      <c r="A83" s="13" t="s">
        <v>1614</v>
      </c>
      <c r="B83" s="13" t="s">
        <v>1288</v>
      </c>
      <c r="C83" s="14" t="s">
        <v>847</v>
      </c>
      <c r="D83" s="14" t="s">
        <v>1469</v>
      </c>
      <c r="E83" s="14" t="s">
        <v>1615</v>
      </c>
      <c r="F83" s="16" t="s">
        <v>1616</v>
      </c>
      <c r="G83" s="16" t="s">
        <v>1617</v>
      </c>
      <c r="H83" s="14" t="n">
        <v>8</v>
      </c>
      <c r="I83" s="14"/>
      <c r="J83" s="14"/>
      <c r="K83" s="16" t="s">
        <v>1473</v>
      </c>
      <c r="L83" s="16"/>
      <c r="M83" s="14"/>
      <c r="N83" s="13" t="s">
        <v>778</v>
      </c>
      <c r="O83" s="13" t="s">
        <v>1295</v>
      </c>
    </row>
    <row r="84" customFormat="false" ht="15" hidden="false" customHeight="false" outlineLevel="0" collapsed="false">
      <c r="A84" s="13" t="s">
        <v>1618</v>
      </c>
      <c r="B84" s="13" t="s">
        <v>1288</v>
      </c>
      <c r="C84" s="14" t="s">
        <v>847</v>
      </c>
      <c r="D84" s="14" t="s">
        <v>1469</v>
      </c>
      <c r="E84" s="14" t="s">
        <v>1619</v>
      </c>
      <c r="F84" s="16" t="s">
        <v>1620</v>
      </c>
      <c r="G84" s="16" t="s">
        <v>1621</v>
      </c>
      <c r="H84" s="14" t="n">
        <v>3</v>
      </c>
      <c r="I84" s="14"/>
      <c r="J84" s="14"/>
      <c r="K84" s="16" t="s">
        <v>1473</v>
      </c>
      <c r="L84" s="16"/>
      <c r="M84" s="14"/>
      <c r="N84" s="13" t="s">
        <v>778</v>
      </c>
      <c r="O84" s="13" t="s">
        <v>1295</v>
      </c>
    </row>
    <row r="85" customFormat="false" ht="72.35" hidden="false" customHeight="false" outlineLevel="0" collapsed="false">
      <c r="A85" s="13" t="s">
        <v>1622</v>
      </c>
      <c r="B85" s="13" t="s">
        <v>940</v>
      </c>
      <c r="C85" s="14" t="s">
        <v>1324</v>
      </c>
      <c r="D85" s="14" t="s">
        <v>1290</v>
      </c>
      <c r="E85" s="14" t="s">
        <v>1623</v>
      </c>
      <c r="F85" s="16" t="s">
        <v>1624</v>
      </c>
      <c r="G85" s="16" t="s">
        <v>1625</v>
      </c>
      <c r="H85" s="14"/>
      <c r="I85" s="14"/>
      <c r="J85" s="14"/>
      <c r="K85" s="16"/>
      <c r="L85" s="15" t="s">
        <v>1626</v>
      </c>
      <c r="M85" s="14"/>
      <c r="N85" s="13" t="s">
        <v>778</v>
      </c>
      <c r="O85" s="13" t="s">
        <v>1295</v>
      </c>
    </row>
    <row r="86" customFormat="false" ht="86.55" hidden="false" customHeight="false" outlineLevel="0" collapsed="false">
      <c r="A86" s="13" t="s">
        <v>1627</v>
      </c>
      <c r="B86" s="13" t="s">
        <v>940</v>
      </c>
      <c r="C86" s="14" t="s">
        <v>1319</v>
      </c>
      <c r="D86" s="14" t="s">
        <v>1290</v>
      </c>
      <c r="E86" s="14" t="s">
        <v>1628</v>
      </c>
      <c r="F86" s="16" t="s">
        <v>1629</v>
      </c>
      <c r="G86" s="16" t="s">
        <v>1630</v>
      </c>
      <c r="H86" s="14"/>
      <c r="I86" s="14"/>
      <c r="J86" s="14"/>
      <c r="K86" s="16"/>
      <c r="L86" s="15" t="s">
        <v>1631</v>
      </c>
      <c r="M86" s="14"/>
      <c r="N86" s="13" t="s">
        <v>778</v>
      </c>
      <c r="O86" s="13" t="s">
        <v>1295</v>
      </c>
    </row>
    <row r="87" customFormat="false" ht="72.35" hidden="false" customHeight="false" outlineLevel="0" collapsed="false">
      <c r="A87" s="13" t="s">
        <v>1632</v>
      </c>
      <c r="B87" s="13" t="s">
        <v>940</v>
      </c>
      <c r="C87" s="14" t="s">
        <v>1310</v>
      </c>
      <c r="D87" s="14" t="s">
        <v>1290</v>
      </c>
      <c r="E87" s="14" t="s">
        <v>1633</v>
      </c>
      <c r="F87" s="16" t="s">
        <v>1634</v>
      </c>
      <c r="G87" s="16" t="s">
        <v>1635</v>
      </c>
      <c r="H87" s="14"/>
      <c r="I87" s="14"/>
      <c r="J87" s="14"/>
      <c r="K87" s="16"/>
      <c r="L87" s="15" t="s">
        <v>1636</v>
      </c>
      <c r="M87" s="14"/>
      <c r="N87" s="13" t="s">
        <v>778</v>
      </c>
      <c r="O87" s="13" t="s">
        <v>1295</v>
      </c>
    </row>
    <row r="88" customFormat="false" ht="86.55" hidden="false" customHeight="false" outlineLevel="0" collapsed="false">
      <c r="A88" s="13" t="s">
        <v>1637</v>
      </c>
      <c r="B88" s="13" t="s">
        <v>940</v>
      </c>
      <c r="C88" s="14" t="s">
        <v>1301</v>
      </c>
      <c r="D88" s="14" t="s">
        <v>1290</v>
      </c>
      <c r="E88" s="14" t="s">
        <v>1638</v>
      </c>
      <c r="F88" s="16" t="s">
        <v>1639</v>
      </c>
      <c r="G88" s="16" t="s">
        <v>1640</v>
      </c>
      <c r="H88" s="14"/>
      <c r="I88" s="14"/>
      <c r="J88" s="14"/>
      <c r="K88" s="16"/>
      <c r="L88" s="15" t="s">
        <v>1641</v>
      </c>
      <c r="M88" s="14"/>
      <c r="N88" s="13" t="s">
        <v>778</v>
      </c>
      <c r="O88" s="13" t="s">
        <v>1295</v>
      </c>
    </row>
    <row r="89" customFormat="false" ht="72.35" hidden="false" customHeight="false" outlineLevel="0" collapsed="false">
      <c r="A89" s="13" t="s">
        <v>1642</v>
      </c>
      <c r="B89" s="13" t="s">
        <v>940</v>
      </c>
      <c r="C89" s="14" t="s">
        <v>1289</v>
      </c>
      <c r="D89" s="14" t="s">
        <v>1290</v>
      </c>
      <c r="E89" s="14" t="s">
        <v>1643</v>
      </c>
      <c r="F89" s="16" t="s">
        <v>1644</v>
      </c>
      <c r="G89" s="16" t="s">
        <v>1645</v>
      </c>
      <c r="H89" s="14"/>
      <c r="I89" s="14"/>
      <c r="J89" s="14"/>
      <c r="K89" s="16"/>
      <c r="L89" s="15" t="s">
        <v>1646</v>
      </c>
      <c r="M89" s="14"/>
      <c r="N89" s="13" t="s">
        <v>778</v>
      </c>
      <c r="O89" s="13" t="s">
        <v>1295</v>
      </c>
    </row>
    <row r="90" customFormat="false" ht="72.35" hidden="false" customHeight="false" outlineLevel="0" collapsed="false">
      <c r="A90" s="13" t="s">
        <v>1647</v>
      </c>
      <c r="B90" s="13" t="s">
        <v>940</v>
      </c>
      <c r="C90" s="14" t="s">
        <v>1324</v>
      </c>
      <c r="D90" s="14" t="s">
        <v>1290</v>
      </c>
      <c r="E90" s="14" t="s">
        <v>1648</v>
      </c>
      <c r="F90" s="16" t="s">
        <v>1649</v>
      </c>
      <c r="G90" s="16" t="s">
        <v>1650</v>
      </c>
      <c r="H90" s="14"/>
      <c r="I90" s="14"/>
      <c r="J90" s="14"/>
      <c r="K90" s="16"/>
      <c r="L90" s="15" t="s">
        <v>1651</v>
      </c>
      <c r="M90" s="14"/>
      <c r="N90" s="13" t="s">
        <v>778</v>
      </c>
      <c r="O90" s="13" t="s">
        <v>1295</v>
      </c>
    </row>
    <row r="91" customFormat="false" ht="86.55" hidden="false" customHeight="false" outlineLevel="0" collapsed="false">
      <c r="A91" s="13" t="s">
        <v>1652</v>
      </c>
      <c r="B91" s="13" t="s">
        <v>940</v>
      </c>
      <c r="C91" s="14" t="s">
        <v>1319</v>
      </c>
      <c r="D91" s="14" t="s">
        <v>1290</v>
      </c>
      <c r="E91" s="14" t="s">
        <v>1653</v>
      </c>
      <c r="F91" s="16" t="s">
        <v>1654</v>
      </c>
      <c r="G91" s="16" t="s">
        <v>1655</v>
      </c>
      <c r="H91" s="14"/>
      <c r="I91" s="14"/>
      <c r="J91" s="14"/>
      <c r="K91" s="16"/>
      <c r="L91" s="15" t="s">
        <v>1656</v>
      </c>
      <c r="M91" s="14"/>
      <c r="N91" s="13" t="s">
        <v>778</v>
      </c>
      <c r="O91" s="13" t="s">
        <v>1295</v>
      </c>
    </row>
    <row r="92" customFormat="false" ht="72.35" hidden="false" customHeight="false" outlineLevel="0" collapsed="false">
      <c r="A92" s="13" t="s">
        <v>1657</v>
      </c>
      <c r="B92" s="13" t="s">
        <v>940</v>
      </c>
      <c r="C92" s="14" t="s">
        <v>1310</v>
      </c>
      <c r="D92" s="14" t="s">
        <v>1290</v>
      </c>
      <c r="E92" s="14" t="s">
        <v>1658</v>
      </c>
      <c r="F92" s="16" t="s">
        <v>1659</v>
      </c>
      <c r="G92" s="16" t="s">
        <v>1660</v>
      </c>
      <c r="H92" s="14"/>
      <c r="I92" s="14"/>
      <c r="J92" s="14"/>
      <c r="K92" s="16"/>
      <c r="L92" s="15" t="s">
        <v>1661</v>
      </c>
      <c r="M92" s="14"/>
      <c r="N92" s="13" t="s">
        <v>778</v>
      </c>
      <c r="O92" s="13" t="s">
        <v>1295</v>
      </c>
    </row>
    <row r="93" customFormat="false" ht="86.55" hidden="false" customHeight="false" outlineLevel="0" collapsed="false">
      <c r="A93" s="13" t="s">
        <v>1662</v>
      </c>
      <c r="B93" s="13" t="s">
        <v>940</v>
      </c>
      <c r="C93" s="14" t="s">
        <v>1324</v>
      </c>
      <c r="D93" s="14" t="s">
        <v>1357</v>
      </c>
      <c r="E93" s="14" t="s">
        <v>1663</v>
      </c>
      <c r="F93" s="16" t="s">
        <v>1664</v>
      </c>
      <c r="G93" s="16" t="s">
        <v>1665</v>
      </c>
      <c r="H93" s="14"/>
      <c r="I93" s="14"/>
      <c r="J93" s="14"/>
      <c r="K93" s="16"/>
      <c r="L93" s="15" t="s">
        <v>1666</v>
      </c>
      <c r="M93" s="14"/>
      <c r="N93" s="13" t="s">
        <v>778</v>
      </c>
      <c r="O93" s="13" t="s">
        <v>1295</v>
      </c>
    </row>
    <row r="94" customFormat="false" ht="86.55" hidden="false" customHeight="false" outlineLevel="0" collapsed="false">
      <c r="A94" s="13" t="s">
        <v>1667</v>
      </c>
      <c r="B94" s="13" t="s">
        <v>940</v>
      </c>
      <c r="C94" s="14" t="s">
        <v>1319</v>
      </c>
      <c r="D94" s="14" t="s">
        <v>1357</v>
      </c>
      <c r="E94" s="14" t="s">
        <v>1668</v>
      </c>
      <c r="F94" s="16" t="s">
        <v>1669</v>
      </c>
      <c r="G94" s="16" t="s">
        <v>1670</v>
      </c>
      <c r="H94" s="14"/>
      <c r="I94" s="14"/>
      <c r="J94" s="14"/>
      <c r="K94" s="16"/>
      <c r="L94" s="15" t="s">
        <v>1671</v>
      </c>
      <c r="M94" s="14"/>
      <c r="N94" s="13" t="s">
        <v>778</v>
      </c>
      <c r="O94" s="13" t="s">
        <v>1295</v>
      </c>
    </row>
    <row r="95" customFormat="false" ht="86.55" hidden="false" customHeight="false" outlineLevel="0" collapsed="false">
      <c r="A95" s="13" t="s">
        <v>1672</v>
      </c>
      <c r="B95" s="13" t="s">
        <v>940</v>
      </c>
      <c r="C95" s="14" t="s">
        <v>1319</v>
      </c>
      <c r="D95" s="14" t="s">
        <v>1357</v>
      </c>
      <c r="E95" s="14" t="s">
        <v>1673</v>
      </c>
      <c r="F95" s="16" t="s">
        <v>1674</v>
      </c>
      <c r="G95" s="16" t="s">
        <v>1675</v>
      </c>
      <c r="H95" s="14"/>
      <c r="I95" s="14"/>
      <c r="J95" s="14"/>
      <c r="K95" s="16"/>
      <c r="L95" s="15" t="s">
        <v>1676</v>
      </c>
      <c r="M95" s="14"/>
      <c r="N95" s="13" t="s">
        <v>778</v>
      </c>
      <c r="O95" s="13" t="s">
        <v>1295</v>
      </c>
    </row>
    <row r="96" customFormat="false" ht="72.35" hidden="false" customHeight="false" outlineLevel="0" collapsed="false">
      <c r="A96" s="13" t="s">
        <v>1677</v>
      </c>
      <c r="B96" s="13" t="s">
        <v>940</v>
      </c>
      <c r="C96" s="14" t="s">
        <v>1310</v>
      </c>
      <c r="D96" s="14" t="s">
        <v>1357</v>
      </c>
      <c r="E96" s="14" t="s">
        <v>1678</v>
      </c>
      <c r="F96" s="16" t="s">
        <v>1679</v>
      </c>
      <c r="G96" s="16" t="s">
        <v>1680</v>
      </c>
      <c r="H96" s="14"/>
      <c r="I96" s="14"/>
      <c r="J96" s="14"/>
      <c r="K96" s="16"/>
      <c r="L96" s="15" t="s">
        <v>1681</v>
      </c>
      <c r="M96" s="14"/>
      <c r="N96" s="13" t="s">
        <v>778</v>
      </c>
      <c r="O96" s="13" t="s">
        <v>1295</v>
      </c>
    </row>
    <row r="97" customFormat="false" ht="86.55" hidden="false" customHeight="false" outlineLevel="0" collapsed="false">
      <c r="A97" s="13" t="s">
        <v>1682</v>
      </c>
      <c r="B97" s="13" t="s">
        <v>940</v>
      </c>
      <c r="C97" s="14" t="s">
        <v>1324</v>
      </c>
      <c r="D97" s="14" t="s">
        <v>1357</v>
      </c>
      <c r="E97" s="14" t="s">
        <v>1683</v>
      </c>
      <c r="F97" s="16" t="s">
        <v>1684</v>
      </c>
      <c r="G97" s="16" t="s">
        <v>1685</v>
      </c>
      <c r="H97" s="14"/>
      <c r="I97" s="14"/>
      <c r="J97" s="14"/>
      <c r="K97" s="16"/>
      <c r="L97" s="15" t="s">
        <v>1686</v>
      </c>
      <c r="M97" s="14"/>
      <c r="N97" s="13" t="s">
        <v>778</v>
      </c>
      <c r="O97" s="13" t="s">
        <v>1295</v>
      </c>
    </row>
    <row r="98" customFormat="false" ht="72.35" hidden="false" customHeight="false" outlineLevel="0" collapsed="false">
      <c r="A98" s="13" t="s">
        <v>1687</v>
      </c>
      <c r="B98" s="13" t="s">
        <v>940</v>
      </c>
      <c r="C98" s="14" t="s">
        <v>1289</v>
      </c>
      <c r="D98" s="14" t="s">
        <v>1357</v>
      </c>
      <c r="E98" s="14" t="s">
        <v>1688</v>
      </c>
      <c r="F98" s="16" t="s">
        <v>1689</v>
      </c>
      <c r="G98" s="16" t="s">
        <v>1690</v>
      </c>
      <c r="H98" s="14"/>
      <c r="I98" s="14"/>
      <c r="J98" s="14"/>
      <c r="K98" s="16"/>
      <c r="L98" s="15" t="s">
        <v>1691</v>
      </c>
      <c r="M98" s="14"/>
      <c r="N98" s="13" t="s">
        <v>778</v>
      </c>
      <c r="O98" s="13" t="s">
        <v>1295</v>
      </c>
    </row>
    <row r="99" customFormat="false" ht="86.55" hidden="false" customHeight="false" outlineLevel="0" collapsed="false">
      <c r="A99" s="13" t="s">
        <v>1692</v>
      </c>
      <c r="B99" s="13" t="s">
        <v>940</v>
      </c>
      <c r="C99" s="14" t="s">
        <v>1319</v>
      </c>
      <c r="D99" s="14" t="s">
        <v>1357</v>
      </c>
      <c r="E99" s="14" t="s">
        <v>1693</v>
      </c>
      <c r="F99" s="16" t="s">
        <v>1694</v>
      </c>
      <c r="G99" s="16" t="s">
        <v>1695</v>
      </c>
      <c r="H99" s="14"/>
      <c r="I99" s="14"/>
      <c r="J99" s="14"/>
      <c r="K99" s="16"/>
      <c r="L99" s="15" t="s">
        <v>1696</v>
      </c>
      <c r="M99" s="14"/>
      <c r="N99" s="13" t="s">
        <v>778</v>
      </c>
      <c r="O99" s="13" t="s">
        <v>1295</v>
      </c>
    </row>
    <row r="100" customFormat="false" ht="86.55" hidden="false" customHeight="false" outlineLevel="0" collapsed="false">
      <c r="A100" s="13" t="s">
        <v>1697</v>
      </c>
      <c r="B100" s="13" t="s">
        <v>940</v>
      </c>
      <c r="C100" s="14" t="s">
        <v>1324</v>
      </c>
      <c r="D100" s="14" t="s">
        <v>1357</v>
      </c>
      <c r="E100" s="14" t="s">
        <v>1698</v>
      </c>
      <c r="F100" s="16" t="s">
        <v>1699</v>
      </c>
      <c r="G100" s="16" t="s">
        <v>1700</v>
      </c>
      <c r="H100" s="14"/>
      <c r="I100" s="14"/>
      <c r="J100" s="14"/>
      <c r="K100" s="16"/>
      <c r="L100" s="15" t="s">
        <v>1701</v>
      </c>
      <c r="M100" s="14"/>
      <c r="N100" s="13" t="s">
        <v>778</v>
      </c>
      <c r="O100" s="13" t="s">
        <v>1295</v>
      </c>
    </row>
    <row r="101" customFormat="false" ht="86.55" hidden="false" customHeight="false" outlineLevel="0" collapsed="false">
      <c r="A101" s="13" t="s">
        <v>1702</v>
      </c>
      <c r="B101" s="13" t="s">
        <v>940</v>
      </c>
      <c r="C101" s="14" t="s">
        <v>1310</v>
      </c>
      <c r="D101" s="14" t="s">
        <v>1357</v>
      </c>
      <c r="E101" s="14" t="s">
        <v>1703</v>
      </c>
      <c r="F101" s="16" t="s">
        <v>1704</v>
      </c>
      <c r="G101" s="16" t="s">
        <v>1705</v>
      </c>
      <c r="H101" s="14"/>
      <c r="I101" s="14"/>
      <c r="J101" s="14"/>
      <c r="K101" s="16"/>
      <c r="L101" s="15" t="s">
        <v>1706</v>
      </c>
      <c r="M101" s="14"/>
      <c r="N101" s="13" t="s">
        <v>778</v>
      </c>
      <c r="O101" s="13" t="s">
        <v>1295</v>
      </c>
    </row>
    <row r="102" customFormat="false" ht="86.55" hidden="false" customHeight="false" outlineLevel="0" collapsed="false">
      <c r="A102" s="13" t="s">
        <v>1707</v>
      </c>
      <c r="B102" s="13" t="s">
        <v>940</v>
      </c>
      <c r="C102" s="14" t="s">
        <v>1289</v>
      </c>
      <c r="D102" s="14" t="s">
        <v>1419</v>
      </c>
      <c r="E102" s="14" t="s">
        <v>1708</v>
      </c>
      <c r="F102" s="16" t="s">
        <v>1709</v>
      </c>
      <c r="G102" s="16" t="s">
        <v>1710</v>
      </c>
      <c r="H102" s="14"/>
      <c r="I102" s="14"/>
      <c r="J102" s="14"/>
      <c r="K102" s="16"/>
      <c r="L102" s="15" t="s">
        <v>1711</v>
      </c>
      <c r="M102" s="14" t="s">
        <v>352</v>
      </c>
      <c r="N102" s="13" t="s">
        <v>778</v>
      </c>
      <c r="O102" s="13" t="s">
        <v>1295</v>
      </c>
    </row>
    <row r="103" customFormat="false" ht="86.55" hidden="false" customHeight="false" outlineLevel="0" collapsed="false">
      <c r="A103" s="13" t="s">
        <v>1712</v>
      </c>
      <c r="B103" s="13" t="s">
        <v>940</v>
      </c>
      <c r="C103" s="14" t="s">
        <v>1289</v>
      </c>
      <c r="D103" s="14" t="s">
        <v>1419</v>
      </c>
      <c r="E103" s="14" t="s">
        <v>1713</v>
      </c>
      <c r="F103" s="16" t="s">
        <v>1714</v>
      </c>
      <c r="G103" s="16" t="s">
        <v>1715</v>
      </c>
      <c r="H103" s="14"/>
      <c r="I103" s="14"/>
      <c r="J103" s="14"/>
      <c r="K103" s="16"/>
      <c r="L103" s="15" t="s">
        <v>1716</v>
      </c>
      <c r="M103" s="14" t="s">
        <v>352</v>
      </c>
      <c r="N103" s="13" t="s">
        <v>778</v>
      </c>
      <c r="O103" s="13" t="s">
        <v>1295</v>
      </c>
    </row>
    <row r="104" customFormat="false" ht="86.55" hidden="false" customHeight="false" outlineLevel="0" collapsed="false">
      <c r="A104" s="13" t="s">
        <v>1717</v>
      </c>
      <c r="B104" s="13" t="s">
        <v>940</v>
      </c>
      <c r="C104" s="14" t="s">
        <v>1289</v>
      </c>
      <c r="D104" s="14" t="s">
        <v>1419</v>
      </c>
      <c r="E104" s="14" t="s">
        <v>1718</v>
      </c>
      <c r="F104" s="16" t="s">
        <v>1719</v>
      </c>
      <c r="G104" s="16" t="s">
        <v>1720</v>
      </c>
      <c r="H104" s="14"/>
      <c r="I104" s="14"/>
      <c r="J104" s="14"/>
      <c r="K104" s="16"/>
      <c r="L104" s="15" t="s">
        <v>1721</v>
      </c>
      <c r="M104" s="14" t="s">
        <v>352</v>
      </c>
      <c r="N104" s="13" t="s">
        <v>778</v>
      </c>
      <c r="O104" s="13" t="s">
        <v>1295</v>
      </c>
    </row>
    <row r="105" customFormat="false" ht="86.55" hidden="false" customHeight="false" outlineLevel="0" collapsed="false">
      <c r="A105" s="13" t="s">
        <v>1722</v>
      </c>
      <c r="B105" s="13" t="s">
        <v>940</v>
      </c>
      <c r="C105" s="14" t="s">
        <v>1310</v>
      </c>
      <c r="D105" s="14" t="s">
        <v>1419</v>
      </c>
      <c r="E105" s="14" t="s">
        <v>1723</v>
      </c>
      <c r="F105" s="16" t="s">
        <v>1724</v>
      </c>
      <c r="G105" s="16" t="s">
        <v>1725</v>
      </c>
      <c r="H105" s="14"/>
      <c r="I105" s="14"/>
      <c r="J105" s="14"/>
      <c r="K105" s="16"/>
      <c r="L105" s="15" t="s">
        <v>1726</v>
      </c>
      <c r="M105" s="14" t="s">
        <v>352</v>
      </c>
      <c r="N105" s="13" t="s">
        <v>778</v>
      </c>
      <c r="O105" s="13" t="s">
        <v>1295</v>
      </c>
    </row>
    <row r="106" customFormat="false" ht="72.35" hidden="false" customHeight="false" outlineLevel="0" collapsed="false">
      <c r="A106" s="13" t="s">
        <v>1727</v>
      </c>
      <c r="B106" s="13" t="s">
        <v>940</v>
      </c>
      <c r="C106" s="14" t="s">
        <v>1289</v>
      </c>
      <c r="D106" s="14" t="s">
        <v>1419</v>
      </c>
      <c r="E106" s="14" t="s">
        <v>1728</v>
      </c>
      <c r="F106" s="16" t="s">
        <v>1729</v>
      </c>
      <c r="G106" s="16" t="s">
        <v>1730</v>
      </c>
      <c r="H106" s="14"/>
      <c r="I106" s="14"/>
      <c r="J106" s="14"/>
      <c r="K106" s="16"/>
      <c r="L106" s="15" t="s">
        <v>1731</v>
      </c>
      <c r="M106" s="14" t="s">
        <v>352</v>
      </c>
      <c r="N106" s="13" t="s">
        <v>778</v>
      </c>
      <c r="O106" s="13" t="s">
        <v>1295</v>
      </c>
    </row>
    <row r="107" customFormat="false" ht="72.35" hidden="false" customHeight="false" outlineLevel="0" collapsed="false">
      <c r="A107" s="13" t="s">
        <v>1732</v>
      </c>
      <c r="B107" s="13" t="s">
        <v>940</v>
      </c>
      <c r="C107" s="14" t="s">
        <v>1324</v>
      </c>
      <c r="D107" s="14" t="s">
        <v>1419</v>
      </c>
      <c r="E107" s="14" t="s">
        <v>1733</v>
      </c>
      <c r="F107" s="16" t="s">
        <v>1734</v>
      </c>
      <c r="G107" s="16" t="s">
        <v>1735</v>
      </c>
      <c r="H107" s="14"/>
      <c r="I107" s="14"/>
      <c r="J107" s="14"/>
      <c r="K107" s="16"/>
      <c r="L107" s="15" t="s">
        <v>1736</v>
      </c>
      <c r="M107" s="14" t="s">
        <v>352</v>
      </c>
      <c r="N107" s="13" t="s">
        <v>778</v>
      </c>
      <c r="O107" s="13" t="s">
        <v>1295</v>
      </c>
    </row>
    <row r="108" customFormat="false" ht="72.35" hidden="false" customHeight="false" outlineLevel="0" collapsed="false">
      <c r="A108" s="13" t="s">
        <v>1737</v>
      </c>
      <c r="B108" s="13" t="s">
        <v>940</v>
      </c>
      <c r="C108" s="14" t="s">
        <v>847</v>
      </c>
      <c r="D108" s="14" t="s">
        <v>1469</v>
      </c>
      <c r="E108" s="14" t="s">
        <v>1738</v>
      </c>
      <c r="F108" s="16" t="s">
        <v>1739</v>
      </c>
      <c r="G108" s="16" t="s">
        <v>1740</v>
      </c>
      <c r="H108" s="14"/>
      <c r="I108" s="14"/>
      <c r="J108" s="14"/>
      <c r="K108" s="16"/>
      <c r="L108" s="15" t="s">
        <v>1741</v>
      </c>
      <c r="M108" s="14"/>
      <c r="N108" s="13" t="s">
        <v>778</v>
      </c>
      <c r="O108" s="13" t="s">
        <v>1295</v>
      </c>
    </row>
    <row r="109" customFormat="false" ht="72.35" hidden="false" customHeight="false" outlineLevel="0" collapsed="false">
      <c r="A109" s="13" t="s">
        <v>1742</v>
      </c>
      <c r="B109" s="13" t="s">
        <v>940</v>
      </c>
      <c r="C109" s="14" t="s">
        <v>847</v>
      </c>
      <c r="D109" s="14" t="s">
        <v>1469</v>
      </c>
      <c r="E109" s="14" t="s">
        <v>1743</v>
      </c>
      <c r="F109" s="16" t="s">
        <v>1744</v>
      </c>
      <c r="G109" s="16" t="s">
        <v>1745</v>
      </c>
      <c r="H109" s="14"/>
      <c r="I109" s="14"/>
      <c r="J109" s="14"/>
      <c r="K109" s="16"/>
      <c r="L109" s="15" t="s">
        <v>1746</v>
      </c>
      <c r="M109" s="14"/>
      <c r="N109" s="13" t="s">
        <v>778</v>
      </c>
      <c r="O109" s="13" t="s">
        <v>1295</v>
      </c>
    </row>
    <row r="110" customFormat="false" ht="72.35" hidden="false" customHeight="false" outlineLevel="0" collapsed="false">
      <c r="A110" s="13" t="s">
        <v>1747</v>
      </c>
      <c r="B110" s="13" t="s">
        <v>940</v>
      </c>
      <c r="C110" s="14" t="s">
        <v>847</v>
      </c>
      <c r="D110" s="14" t="s">
        <v>1469</v>
      </c>
      <c r="E110" s="14" t="s">
        <v>1748</v>
      </c>
      <c r="F110" s="16" t="s">
        <v>1749</v>
      </c>
      <c r="G110" s="16" t="s">
        <v>1750</v>
      </c>
      <c r="H110" s="14"/>
      <c r="I110" s="14"/>
      <c r="J110" s="14"/>
      <c r="K110" s="16"/>
      <c r="L110" s="15" t="s">
        <v>1751</v>
      </c>
      <c r="M110" s="14"/>
      <c r="N110" s="13" t="s">
        <v>778</v>
      </c>
      <c r="O110" s="13" t="s">
        <v>1295</v>
      </c>
    </row>
    <row r="111" customFormat="false" ht="72.35" hidden="false" customHeight="false" outlineLevel="0" collapsed="false">
      <c r="A111" s="13" t="s">
        <v>1752</v>
      </c>
      <c r="B111" s="13" t="s">
        <v>940</v>
      </c>
      <c r="C111" s="14" t="s">
        <v>847</v>
      </c>
      <c r="D111" s="14" t="s">
        <v>1469</v>
      </c>
      <c r="E111" s="14" t="s">
        <v>1753</v>
      </c>
      <c r="F111" s="16" t="s">
        <v>1754</v>
      </c>
      <c r="G111" s="16" t="s">
        <v>1755</v>
      </c>
      <c r="H111" s="14"/>
      <c r="I111" s="14"/>
      <c r="J111" s="14"/>
      <c r="K111" s="16"/>
      <c r="L111" s="15" t="s">
        <v>1756</v>
      </c>
      <c r="M111" s="14"/>
      <c r="N111" s="13" t="s">
        <v>778</v>
      </c>
      <c r="O111" s="13" t="s">
        <v>1295</v>
      </c>
    </row>
    <row r="112" customFormat="false" ht="100.7" hidden="false" customHeight="false" outlineLevel="0" collapsed="false">
      <c r="A112" s="13" t="s">
        <v>1757</v>
      </c>
      <c r="B112" s="13" t="s">
        <v>940</v>
      </c>
      <c r="C112" s="14" t="s">
        <v>847</v>
      </c>
      <c r="D112" s="14" t="s">
        <v>1469</v>
      </c>
      <c r="E112" s="14" t="s">
        <v>1758</v>
      </c>
      <c r="F112" s="16" t="s">
        <v>1759</v>
      </c>
      <c r="G112" s="16" t="s">
        <v>1760</v>
      </c>
      <c r="H112" s="14"/>
      <c r="I112" s="14"/>
      <c r="J112" s="14"/>
      <c r="K112" s="16"/>
      <c r="L112" s="15" t="s">
        <v>1761</v>
      </c>
      <c r="M112" s="14"/>
      <c r="N112" s="13" t="s">
        <v>778</v>
      </c>
      <c r="O112" s="13" t="s">
        <v>1295</v>
      </c>
    </row>
    <row r="113" customFormat="false" ht="72.35" hidden="false" customHeight="false" outlineLevel="0" collapsed="false">
      <c r="A113" s="13" t="s">
        <v>1762</v>
      </c>
      <c r="B113" s="13" t="s">
        <v>940</v>
      </c>
      <c r="C113" s="14" t="s">
        <v>847</v>
      </c>
      <c r="D113" s="14" t="s">
        <v>1469</v>
      </c>
      <c r="E113" s="14" t="s">
        <v>1763</v>
      </c>
      <c r="F113" s="16" t="s">
        <v>1764</v>
      </c>
      <c r="G113" s="16" t="s">
        <v>1765</v>
      </c>
      <c r="H113" s="14"/>
      <c r="I113" s="14"/>
      <c r="J113" s="14"/>
      <c r="K113" s="16"/>
      <c r="L113" s="15" t="s">
        <v>1766</v>
      </c>
      <c r="M113" s="14"/>
      <c r="N113" s="13" t="s">
        <v>778</v>
      </c>
      <c r="O113" s="13" t="s">
        <v>1295</v>
      </c>
    </row>
    <row r="114" customFormat="false" ht="72.35" hidden="false" customHeight="false" outlineLevel="0" collapsed="false">
      <c r="A114" s="13" t="s">
        <v>1767</v>
      </c>
      <c r="B114" s="13" t="s">
        <v>940</v>
      </c>
      <c r="C114" s="14" t="s">
        <v>1319</v>
      </c>
      <c r="D114" s="14" t="s">
        <v>1290</v>
      </c>
      <c r="E114" s="14" t="s">
        <v>1768</v>
      </c>
      <c r="F114" s="16" t="s">
        <v>1769</v>
      </c>
      <c r="G114" s="16" t="s">
        <v>1770</v>
      </c>
      <c r="H114" s="14"/>
      <c r="I114" s="14"/>
      <c r="J114" s="14"/>
      <c r="K114" s="16"/>
      <c r="L114" s="15" t="s">
        <v>1771</v>
      </c>
      <c r="M114" s="14"/>
      <c r="N114" s="13" t="s">
        <v>778</v>
      </c>
      <c r="O114" s="13" t="s">
        <v>1295</v>
      </c>
    </row>
    <row r="115" customFormat="false" ht="86.55" hidden="false" customHeight="false" outlineLevel="0" collapsed="false">
      <c r="A115" s="13" t="s">
        <v>1772</v>
      </c>
      <c r="B115" s="13" t="s">
        <v>940</v>
      </c>
      <c r="C115" s="14" t="s">
        <v>1324</v>
      </c>
      <c r="D115" s="14" t="s">
        <v>1290</v>
      </c>
      <c r="E115" s="14" t="s">
        <v>1773</v>
      </c>
      <c r="F115" s="16" t="s">
        <v>1774</v>
      </c>
      <c r="G115" s="16" t="s">
        <v>1775</v>
      </c>
      <c r="H115" s="14"/>
      <c r="I115" s="14"/>
      <c r="J115" s="14"/>
      <c r="K115" s="16"/>
      <c r="L115" s="15" t="s">
        <v>1776</v>
      </c>
      <c r="M115" s="14"/>
      <c r="N115" s="13" t="s">
        <v>778</v>
      </c>
      <c r="O115" s="13" t="s">
        <v>1295</v>
      </c>
    </row>
    <row r="116" customFormat="false" ht="72.35" hidden="false" customHeight="false" outlineLevel="0" collapsed="false">
      <c r="A116" s="13" t="s">
        <v>1777</v>
      </c>
      <c r="B116" s="13" t="s">
        <v>940</v>
      </c>
      <c r="C116" s="14" t="s">
        <v>1310</v>
      </c>
      <c r="D116" s="14" t="s">
        <v>1290</v>
      </c>
      <c r="E116" s="14" t="s">
        <v>1778</v>
      </c>
      <c r="F116" s="16" t="s">
        <v>1779</v>
      </c>
      <c r="G116" s="16" t="s">
        <v>1780</v>
      </c>
      <c r="H116" s="14"/>
      <c r="I116" s="14"/>
      <c r="J116" s="14"/>
      <c r="K116" s="16"/>
      <c r="L116" s="15" t="s">
        <v>1781</v>
      </c>
      <c r="M116" s="14"/>
      <c r="N116" s="13" t="s">
        <v>778</v>
      </c>
      <c r="O116" s="13" t="s">
        <v>1295</v>
      </c>
    </row>
    <row r="117" customFormat="false" ht="72.35" hidden="false" customHeight="false" outlineLevel="0" collapsed="false">
      <c r="A117" s="13" t="s">
        <v>1782</v>
      </c>
      <c r="B117" s="13" t="s">
        <v>940</v>
      </c>
      <c r="C117" s="14" t="s">
        <v>1289</v>
      </c>
      <c r="D117" s="14" t="s">
        <v>1290</v>
      </c>
      <c r="E117" s="14" t="s">
        <v>1783</v>
      </c>
      <c r="F117" s="16" t="s">
        <v>1784</v>
      </c>
      <c r="G117" s="16" t="s">
        <v>1785</v>
      </c>
      <c r="H117" s="14"/>
      <c r="I117" s="14"/>
      <c r="J117" s="14"/>
      <c r="K117" s="16"/>
      <c r="L117" s="15" t="s">
        <v>1786</v>
      </c>
      <c r="M117" s="14"/>
      <c r="N117" s="13" t="s">
        <v>778</v>
      </c>
      <c r="O117" s="13" t="s">
        <v>1295</v>
      </c>
    </row>
    <row r="118" customFormat="false" ht="72.35" hidden="false" customHeight="false" outlineLevel="0" collapsed="false">
      <c r="A118" s="13" t="s">
        <v>1787</v>
      </c>
      <c r="B118" s="13" t="s">
        <v>940</v>
      </c>
      <c r="C118" s="14" t="s">
        <v>1301</v>
      </c>
      <c r="D118" s="14" t="s">
        <v>1290</v>
      </c>
      <c r="E118" s="14" t="s">
        <v>1788</v>
      </c>
      <c r="F118" s="16" t="s">
        <v>1789</v>
      </c>
      <c r="G118" s="16" t="s">
        <v>1790</v>
      </c>
      <c r="H118" s="14"/>
      <c r="I118" s="14"/>
      <c r="J118" s="14"/>
      <c r="K118" s="16"/>
      <c r="L118" s="15" t="s">
        <v>1791</v>
      </c>
      <c r="M118" s="14"/>
      <c r="N118" s="13" t="s">
        <v>778</v>
      </c>
      <c r="O118" s="13" t="s">
        <v>1295</v>
      </c>
    </row>
    <row r="119" customFormat="false" ht="86.55" hidden="false" customHeight="false" outlineLevel="0" collapsed="false">
      <c r="A119" s="13" t="s">
        <v>1792</v>
      </c>
      <c r="B119" s="13" t="s">
        <v>940</v>
      </c>
      <c r="C119" s="14" t="s">
        <v>1319</v>
      </c>
      <c r="D119" s="14" t="s">
        <v>1357</v>
      </c>
      <c r="E119" s="14" t="s">
        <v>1793</v>
      </c>
      <c r="F119" s="16" t="s">
        <v>1794</v>
      </c>
      <c r="G119" s="16" t="s">
        <v>1795</v>
      </c>
      <c r="H119" s="14"/>
      <c r="I119" s="14"/>
      <c r="J119" s="14"/>
      <c r="K119" s="16"/>
      <c r="L119" s="15" t="s">
        <v>1796</v>
      </c>
      <c r="M119" s="14"/>
      <c r="N119" s="13" t="s">
        <v>778</v>
      </c>
      <c r="O119" s="13" t="s">
        <v>1295</v>
      </c>
    </row>
    <row r="120" customFormat="false" ht="86.55" hidden="false" customHeight="false" outlineLevel="0" collapsed="false">
      <c r="A120" s="13" t="s">
        <v>1797</v>
      </c>
      <c r="B120" s="13" t="s">
        <v>940</v>
      </c>
      <c r="C120" s="14" t="s">
        <v>1324</v>
      </c>
      <c r="D120" s="14" t="s">
        <v>1357</v>
      </c>
      <c r="E120" s="14" t="s">
        <v>1798</v>
      </c>
      <c r="F120" s="16" t="s">
        <v>1799</v>
      </c>
      <c r="G120" s="16" t="s">
        <v>1800</v>
      </c>
      <c r="H120" s="14"/>
      <c r="I120" s="14"/>
      <c r="J120" s="14"/>
      <c r="K120" s="16"/>
      <c r="L120" s="15" t="s">
        <v>1801</v>
      </c>
      <c r="M120" s="14"/>
      <c r="N120" s="13" t="s">
        <v>778</v>
      </c>
      <c r="O120" s="13" t="s">
        <v>1295</v>
      </c>
    </row>
    <row r="121" customFormat="false" ht="72.35" hidden="false" customHeight="false" outlineLevel="0" collapsed="false">
      <c r="A121" s="13" t="s">
        <v>1802</v>
      </c>
      <c r="B121" s="13" t="s">
        <v>940</v>
      </c>
      <c r="C121" s="14" t="s">
        <v>1310</v>
      </c>
      <c r="D121" s="14" t="s">
        <v>1357</v>
      </c>
      <c r="E121" s="14" t="s">
        <v>1803</v>
      </c>
      <c r="F121" s="16" t="s">
        <v>1804</v>
      </c>
      <c r="G121" s="16" t="s">
        <v>1805</v>
      </c>
      <c r="H121" s="14"/>
      <c r="I121" s="14"/>
      <c r="J121" s="14"/>
      <c r="K121" s="16"/>
      <c r="L121" s="15" t="s">
        <v>1806</v>
      </c>
      <c r="M121" s="14"/>
      <c r="N121" s="13" t="s">
        <v>778</v>
      </c>
      <c r="O121" s="13" t="s">
        <v>1295</v>
      </c>
    </row>
    <row r="122" customFormat="false" ht="86.55" hidden="false" customHeight="false" outlineLevel="0" collapsed="false">
      <c r="A122" s="13" t="s">
        <v>1807</v>
      </c>
      <c r="B122" s="13" t="s">
        <v>940</v>
      </c>
      <c r="C122" s="14" t="s">
        <v>1319</v>
      </c>
      <c r="D122" s="14" t="s">
        <v>1357</v>
      </c>
      <c r="E122" s="14" t="s">
        <v>1808</v>
      </c>
      <c r="F122" s="16" t="s">
        <v>1809</v>
      </c>
      <c r="G122" s="16" t="s">
        <v>1810</v>
      </c>
      <c r="H122" s="14"/>
      <c r="I122" s="14"/>
      <c r="J122" s="14"/>
      <c r="K122" s="16"/>
      <c r="L122" s="15" t="s">
        <v>1811</v>
      </c>
      <c r="M122" s="14"/>
      <c r="N122" s="13" t="s">
        <v>778</v>
      </c>
      <c r="O122" s="13" t="s">
        <v>1295</v>
      </c>
    </row>
    <row r="123" customFormat="false" ht="86.55" hidden="false" customHeight="false" outlineLevel="0" collapsed="false">
      <c r="A123" s="13" t="s">
        <v>1812</v>
      </c>
      <c r="B123" s="13" t="s">
        <v>940</v>
      </c>
      <c r="C123" s="14" t="s">
        <v>1324</v>
      </c>
      <c r="D123" s="14" t="s">
        <v>1357</v>
      </c>
      <c r="E123" s="14" t="s">
        <v>1813</v>
      </c>
      <c r="F123" s="16" t="s">
        <v>1814</v>
      </c>
      <c r="G123" s="16" t="s">
        <v>1815</v>
      </c>
      <c r="H123" s="14"/>
      <c r="I123" s="14"/>
      <c r="J123" s="14"/>
      <c r="K123" s="16"/>
      <c r="L123" s="15" t="s">
        <v>1816</v>
      </c>
      <c r="M123" s="14"/>
      <c r="N123" s="13" t="s">
        <v>778</v>
      </c>
      <c r="O123" s="13" t="s">
        <v>1295</v>
      </c>
    </row>
    <row r="124" customFormat="false" ht="72.35" hidden="false" customHeight="false" outlineLevel="0" collapsed="false">
      <c r="A124" s="13" t="s">
        <v>1817</v>
      </c>
      <c r="B124" s="13" t="s">
        <v>940</v>
      </c>
      <c r="C124" s="14" t="s">
        <v>1289</v>
      </c>
      <c r="D124" s="14" t="s">
        <v>1357</v>
      </c>
      <c r="E124" s="14" t="s">
        <v>1818</v>
      </c>
      <c r="F124" s="16" t="s">
        <v>1819</v>
      </c>
      <c r="G124" s="16" t="s">
        <v>1820</v>
      </c>
      <c r="H124" s="14"/>
      <c r="I124" s="14"/>
      <c r="J124" s="14"/>
      <c r="K124" s="16"/>
      <c r="L124" s="15" t="s">
        <v>1821</v>
      </c>
      <c r="M124" s="14"/>
      <c r="N124" s="13" t="s">
        <v>778</v>
      </c>
      <c r="O124" s="13" t="s">
        <v>1295</v>
      </c>
    </row>
    <row r="125" customFormat="false" ht="86.55" hidden="false" customHeight="false" outlineLevel="0" collapsed="false">
      <c r="A125" s="13" t="s">
        <v>1822</v>
      </c>
      <c r="B125" s="13" t="s">
        <v>940</v>
      </c>
      <c r="C125" s="14" t="s">
        <v>1289</v>
      </c>
      <c r="D125" s="14" t="s">
        <v>1419</v>
      </c>
      <c r="E125" s="14" t="s">
        <v>1823</v>
      </c>
      <c r="F125" s="16" t="s">
        <v>1824</v>
      </c>
      <c r="G125" s="16" t="s">
        <v>1825</v>
      </c>
      <c r="H125" s="14"/>
      <c r="I125" s="14"/>
      <c r="J125" s="14"/>
      <c r="K125" s="16"/>
      <c r="L125" s="15" t="s">
        <v>1826</v>
      </c>
      <c r="M125" s="14" t="s">
        <v>352</v>
      </c>
      <c r="N125" s="13" t="s">
        <v>778</v>
      </c>
      <c r="O125" s="13" t="s">
        <v>1295</v>
      </c>
    </row>
    <row r="126" customFormat="false" ht="86.55" hidden="false" customHeight="false" outlineLevel="0" collapsed="false">
      <c r="A126" s="13" t="s">
        <v>1827</v>
      </c>
      <c r="B126" s="13" t="s">
        <v>940</v>
      </c>
      <c r="C126" s="14" t="s">
        <v>1310</v>
      </c>
      <c r="D126" s="14" t="s">
        <v>1419</v>
      </c>
      <c r="E126" s="14" t="s">
        <v>1828</v>
      </c>
      <c r="F126" s="16" t="s">
        <v>1829</v>
      </c>
      <c r="G126" s="16" t="s">
        <v>1830</v>
      </c>
      <c r="H126" s="14"/>
      <c r="I126" s="14"/>
      <c r="J126" s="14"/>
      <c r="K126" s="16"/>
      <c r="L126" s="15" t="s">
        <v>1831</v>
      </c>
      <c r="M126" s="14" t="s">
        <v>352</v>
      </c>
      <c r="N126" s="13" t="s">
        <v>778</v>
      </c>
      <c r="O126" s="13" t="s">
        <v>1295</v>
      </c>
    </row>
    <row r="127" customFormat="false" ht="86.55" hidden="false" customHeight="false" outlineLevel="0" collapsed="false">
      <c r="A127" s="13" t="s">
        <v>1832</v>
      </c>
      <c r="B127" s="13" t="s">
        <v>940</v>
      </c>
      <c r="C127" s="14" t="s">
        <v>1319</v>
      </c>
      <c r="D127" s="14" t="s">
        <v>1419</v>
      </c>
      <c r="E127" s="14" t="s">
        <v>1833</v>
      </c>
      <c r="F127" s="16" t="s">
        <v>1834</v>
      </c>
      <c r="G127" s="16" t="s">
        <v>1835</v>
      </c>
      <c r="H127" s="14"/>
      <c r="I127" s="14"/>
      <c r="J127" s="14"/>
      <c r="K127" s="16"/>
      <c r="L127" s="15" t="s">
        <v>1836</v>
      </c>
      <c r="M127" s="14" t="s">
        <v>352</v>
      </c>
      <c r="N127" s="13" t="s">
        <v>778</v>
      </c>
      <c r="O127" s="13" t="s">
        <v>1295</v>
      </c>
    </row>
    <row r="128" customFormat="false" ht="72.35" hidden="false" customHeight="false" outlineLevel="0" collapsed="false">
      <c r="A128" s="13" t="s">
        <v>1837</v>
      </c>
      <c r="B128" s="13" t="s">
        <v>940</v>
      </c>
      <c r="C128" s="14" t="s">
        <v>1324</v>
      </c>
      <c r="D128" s="14" t="s">
        <v>1419</v>
      </c>
      <c r="E128" s="14" t="s">
        <v>1838</v>
      </c>
      <c r="F128" s="16" t="s">
        <v>1839</v>
      </c>
      <c r="G128" s="16" t="s">
        <v>1840</v>
      </c>
      <c r="H128" s="14"/>
      <c r="I128" s="14"/>
      <c r="J128" s="14"/>
      <c r="K128" s="16"/>
      <c r="L128" s="15" t="s">
        <v>1841</v>
      </c>
      <c r="M128" s="14" t="s">
        <v>352</v>
      </c>
      <c r="N128" s="13" t="s">
        <v>778</v>
      </c>
      <c r="O128" s="13" t="s">
        <v>1295</v>
      </c>
    </row>
    <row r="129" customFormat="false" ht="86.55" hidden="false" customHeight="false" outlineLevel="0" collapsed="false">
      <c r="A129" s="13" t="s">
        <v>1842</v>
      </c>
      <c r="B129" s="13" t="s">
        <v>940</v>
      </c>
      <c r="C129" s="14" t="s">
        <v>1289</v>
      </c>
      <c r="D129" s="14" t="s">
        <v>1419</v>
      </c>
      <c r="E129" s="14" t="s">
        <v>1843</v>
      </c>
      <c r="F129" s="16" t="s">
        <v>1844</v>
      </c>
      <c r="G129" s="16" t="s">
        <v>1845</v>
      </c>
      <c r="H129" s="14"/>
      <c r="I129" s="14"/>
      <c r="J129" s="14"/>
      <c r="K129" s="16"/>
      <c r="L129" s="15" t="s">
        <v>1846</v>
      </c>
      <c r="M129" s="14" t="s">
        <v>352</v>
      </c>
      <c r="N129" s="13" t="s">
        <v>778</v>
      </c>
      <c r="O129" s="13" t="s">
        <v>1295</v>
      </c>
    </row>
    <row r="130" customFormat="false" ht="100.7" hidden="false" customHeight="false" outlineLevel="0" collapsed="false">
      <c r="A130" s="13" t="s">
        <v>1847</v>
      </c>
      <c r="B130" s="13" t="s">
        <v>940</v>
      </c>
      <c r="C130" s="14" t="s">
        <v>847</v>
      </c>
      <c r="D130" s="14" t="s">
        <v>1469</v>
      </c>
      <c r="E130" s="14" t="s">
        <v>1848</v>
      </c>
      <c r="F130" s="16" t="s">
        <v>1849</v>
      </c>
      <c r="G130" s="16" t="s">
        <v>1850</v>
      </c>
      <c r="H130" s="14"/>
      <c r="I130" s="14"/>
      <c r="J130" s="14"/>
      <c r="K130" s="16"/>
      <c r="L130" s="15" t="s">
        <v>1851</v>
      </c>
      <c r="M130" s="14"/>
      <c r="N130" s="13" t="s">
        <v>778</v>
      </c>
      <c r="O130" s="13" t="s">
        <v>1295</v>
      </c>
    </row>
    <row r="131" customFormat="false" ht="72.35" hidden="false" customHeight="false" outlineLevel="0" collapsed="false">
      <c r="A131" s="13" t="s">
        <v>1852</v>
      </c>
      <c r="B131" s="13" t="s">
        <v>940</v>
      </c>
      <c r="C131" s="14" t="s">
        <v>847</v>
      </c>
      <c r="D131" s="14" t="s">
        <v>1469</v>
      </c>
      <c r="E131" s="14" t="s">
        <v>1853</v>
      </c>
      <c r="F131" s="16" t="s">
        <v>1854</v>
      </c>
      <c r="G131" s="16" t="s">
        <v>1855</v>
      </c>
      <c r="H131" s="14"/>
      <c r="I131" s="14"/>
      <c r="J131" s="14"/>
      <c r="K131" s="16"/>
      <c r="L131" s="15" t="s">
        <v>1856</v>
      </c>
      <c r="M131" s="14"/>
      <c r="N131" s="13" t="s">
        <v>778</v>
      </c>
      <c r="O131" s="13" t="s">
        <v>1295</v>
      </c>
    </row>
    <row r="132" customFormat="false" ht="72.35" hidden="false" customHeight="false" outlineLevel="0" collapsed="false">
      <c r="A132" s="13" t="s">
        <v>1857</v>
      </c>
      <c r="B132" s="13" t="s">
        <v>940</v>
      </c>
      <c r="C132" s="14" t="s">
        <v>847</v>
      </c>
      <c r="D132" s="14" t="s">
        <v>1469</v>
      </c>
      <c r="E132" s="14" t="s">
        <v>1858</v>
      </c>
      <c r="F132" s="16" t="s">
        <v>1859</v>
      </c>
      <c r="G132" s="16" t="s">
        <v>1860</v>
      </c>
      <c r="H132" s="14"/>
      <c r="I132" s="14"/>
      <c r="J132" s="14"/>
      <c r="K132" s="16"/>
      <c r="L132" s="15" t="s">
        <v>1861</v>
      </c>
      <c r="M132" s="14"/>
      <c r="N132" s="13" t="s">
        <v>778</v>
      </c>
      <c r="O132" s="13" t="s">
        <v>1295</v>
      </c>
    </row>
    <row r="133" customFormat="false" ht="72.35" hidden="false" customHeight="false" outlineLevel="0" collapsed="false">
      <c r="A133" s="13" t="s">
        <v>1862</v>
      </c>
      <c r="B133" s="13" t="s">
        <v>940</v>
      </c>
      <c r="C133" s="14" t="s">
        <v>847</v>
      </c>
      <c r="D133" s="14" t="s">
        <v>1469</v>
      </c>
      <c r="E133" s="14" t="s">
        <v>1863</v>
      </c>
      <c r="F133" s="16" t="s">
        <v>1864</v>
      </c>
      <c r="G133" s="16" t="s">
        <v>1865</v>
      </c>
      <c r="H133" s="14"/>
      <c r="I133" s="14"/>
      <c r="J133" s="14"/>
      <c r="K133" s="16"/>
      <c r="L133" s="15" t="s">
        <v>1866</v>
      </c>
      <c r="M133" s="14"/>
      <c r="N133" s="13" t="s">
        <v>778</v>
      </c>
      <c r="O133" s="13" t="s">
        <v>1295</v>
      </c>
    </row>
    <row r="134" customFormat="false" ht="72.35" hidden="false" customHeight="false" outlineLevel="0" collapsed="false">
      <c r="A134" s="13" t="s">
        <v>1867</v>
      </c>
      <c r="B134" s="13" t="s">
        <v>940</v>
      </c>
      <c r="C134" s="14" t="s">
        <v>847</v>
      </c>
      <c r="D134" s="14" t="s">
        <v>1469</v>
      </c>
      <c r="E134" s="14" t="s">
        <v>1868</v>
      </c>
      <c r="F134" s="16" t="s">
        <v>1869</v>
      </c>
      <c r="G134" s="16" t="s">
        <v>1870</v>
      </c>
      <c r="H134" s="14"/>
      <c r="I134" s="14"/>
      <c r="J134" s="14"/>
      <c r="K134" s="16"/>
      <c r="L134" s="15" t="s">
        <v>1871</v>
      </c>
      <c r="M134" s="14"/>
      <c r="N134" s="13" t="s">
        <v>778</v>
      </c>
      <c r="O134" s="13" t="s">
        <v>1295</v>
      </c>
    </row>
    <row r="135" customFormat="false" ht="72.35" hidden="false" customHeight="false" outlineLevel="0" collapsed="false">
      <c r="A135" s="13" t="s">
        <v>1872</v>
      </c>
      <c r="B135" s="13" t="s">
        <v>940</v>
      </c>
      <c r="C135" s="14" t="s">
        <v>1289</v>
      </c>
      <c r="D135" s="14" t="s">
        <v>1290</v>
      </c>
      <c r="E135" s="14" t="s">
        <v>1873</v>
      </c>
      <c r="F135" s="16" t="s">
        <v>1874</v>
      </c>
      <c r="G135" s="16" t="s">
        <v>1875</v>
      </c>
      <c r="H135" s="14"/>
      <c r="I135" s="14"/>
      <c r="J135" s="14"/>
      <c r="K135" s="16"/>
      <c r="L135" s="15" t="s">
        <v>1876</v>
      </c>
      <c r="M135" s="14"/>
      <c r="N135" s="13" t="s">
        <v>778</v>
      </c>
      <c r="O135" s="13" t="s">
        <v>1295</v>
      </c>
    </row>
    <row r="136" customFormat="false" ht="86.55" hidden="false" customHeight="false" outlineLevel="0" collapsed="false">
      <c r="A136" s="13" t="s">
        <v>1877</v>
      </c>
      <c r="B136" s="13" t="s">
        <v>940</v>
      </c>
      <c r="C136" s="14" t="s">
        <v>1319</v>
      </c>
      <c r="D136" s="14" t="s">
        <v>1357</v>
      </c>
      <c r="E136" s="14" t="s">
        <v>1878</v>
      </c>
      <c r="F136" s="16" t="s">
        <v>1879</v>
      </c>
      <c r="G136" s="16" t="s">
        <v>1880</v>
      </c>
      <c r="H136" s="14"/>
      <c r="I136" s="14"/>
      <c r="J136" s="14"/>
      <c r="K136" s="16"/>
      <c r="L136" s="15" t="s">
        <v>1881</v>
      </c>
      <c r="M136" s="14"/>
      <c r="N136" s="13" t="s">
        <v>778</v>
      </c>
      <c r="O136" s="13" t="s">
        <v>1295</v>
      </c>
    </row>
    <row r="137" customFormat="false" ht="86.55" hidden="false" customHeight="false" outlineLevel="0" collapsed="false">
      <c r="A137" s="13" t="s">
        <v>1882</v>
      </c>
      <c r="B137" s="13" t="s">
        <v>940</v>
      </c>
      <c r="C137" s="14" t="s">
        <v>1289</v>
      </c>
      <c r="D137" s="14" t="s">
        <v>1419</v>
      </c>
      <c r="E137" s="14" t="s">
        <v>1883</v>
      </c>
      <c r="F137" s="16" t="s">
        <v>1884</v>
      </c>
      <c r="G137" s="16" t="s">
        <v>1885</v>
      </c>
      <c r="H137" s="14"/>
      <c r="I137" s="14"/>
      <c r="J137" s="14"/>
      <c r="K137" s="16"/>
      <c r="L137" s="15" t="s">
        <v>1886</v>
      </c>
      <c r="M137" s="14" t="s">
        <v>352</v>
      </c>
      <c r="N137" s="13" t="s">
        <v>778</v>
      </c>
      <c r="O137" s="13" t="s">
        <v>1295</v>
      </c>
    </row>
    <row r="138" customFormat="false" ht="100.7" hidden="false" customHeight="false" outlineLevel="0" collapsed="false">
      <c r="A138" s="13" t="s">
        <v>1887</v>
      </c>
      <c r="B138" s="13" t="s">
        <v>940</v>
      </c>
      <c r="C138" s="14" t="s">
        <v>847</v>
      </c>
      <c r="D138" s="14" t="s">
        <v>1469</v>
      </c>
      <c r="E138" s="14" t="s">
        <v>1888</v>
      </c>
      <c r="F138" s="16" t="s">
        <v>1889</v>
      </c>
      <c r="G138" s="16" t="s">
        <v>1890</v>
      </c>
      <c r="H138" s="14"/>
      <c r="I138" s="14"/>
      <c r="J138" s="14"/>
      <c r="K138" s="16"/>
      <c r="L138" s="15" t="s">
        <v>1891</v>
      </c>
      <c r="M138" s="14"/>
      <c r="N138" s="13" t="s">
        <v>778</v>
      </c>
      <c r="O138" s="13" t="s">
        <v>1295</v>
      </c>
    </row>
    <row r="139" customFormat="false" ht="72.35" hidden="false" customHeight="false" outlineLevel="0" collapsed="false">
      <c r="A139" s="13" t="s">
        <v>1892</v>
      </c>
      <c r="B139" s="13" t="s">
        <v>940</v>
      </c>
      <c r="C139" s="14" t="s">
        <v>847</v>
      </c>
      <c r="D139" s="14" t="s">
        <v>1469</v>
      </c>
      <c r="E139" s="14" t="s">
        <v>1893</v>
      </c>
      <c r="F139" s="16" t="s">
        <v>1894</v>
      </c>
      <c r="G139" s="16" t="s">
        <v>1895</v>
      </c>
      <c r="H139" s="14"/>
      <c r="I139" s="14"/>
      <c r="J139" s="14"/>
      <c r="K139" s="16"/>
      <c r="L139" s="15" t="s">
        <v>1896</v>
      </c>
      <c r="M139" s="14"/>
      <c r="N139" s="13" t="s">
        <v>778</v>
      </c>
      <c r="O139" s="13" t="s">
        <v>1295</v>
      </c>
    </row>
    <row r="140" customFormat="false" ht="72.35" hidden="false" customHeight="false" outlineLevel="0" collapsed="false">
      <c r="A140" s="13" t="s">
        <v>1897</v>
      </c>
      <c r="B140" s="13" t="s">
        <v>940</v>
      </c>
      <c r="C140" s="14" t="s">
        <v>847</v>
      </c>
      <c r="D140" s="14" t="s">
        <v>1469</v>
      </c>
      <c r="E140" s="14" t="s">
        <v>1898</v>
      </c>
      <c r="F140" s="16" t="s">
        <v>1899</v>
      </c>
      <c r="G140" s="16" t="s">
        <v>1900</v>
      </c>
      <c r="H140" s="14"/>
      <c r="I140" s="14"/>
      <c r="J140" s="14"/>
      <c r="K140" s="16"/>
      <c r="L140" s="15" t="s">
        <v>1901</v>
      </c>
      <c r="M140" s="14"/>
      <c r="N140" s="13" t="s">
        <v>778</v>
      </c>
      <c r="O140" s="13" t="s">
        <v>1295</v>
      </c>
    </row>
    <row r="141" customFormat="false" ht="15" hidden="false" customHeight="false" outlineLevel="0" collapsed="false">
      <c r="A141" s="13" t="s">
        <v>1902</v>
      </c>
      <c r="B141" s="13" t="s">
        <v>1903</v>
      </c>
      <c r="C141" s="14" t="s">
        <v>1310</v>
      </c>
      <c r="D141" s="14"/>
      <c r="E141" s="14" t="s">
        <v>1904</v>
      </c>
      <c r="F141" s="16" t="s">
        <v>1905</v>
      </c>
      <c r="G141" s="16"/>
      <c r="H141" s="14" t="n">
        <v>14</v>
      </c>
      <c r="I141" s="14"/>
      <c r="J141" s="14" t="s">
        <v>396</v>
      </c>
      <c r="K141" s="16"/>
      <c r="L141" s="16"/>
      <c r="M141" s="14"/>
      <c r="N141" s="13" t="s">
        <v>778</v>
      </c>
      <c r="O141" s="13" t="s">
        <v>1295</v>
      </c>
    </row>
    <row r="142" customFormat="false" ht="15" hidden="false" customHeight="false" outlineLevel="0" collapsed="false">
      <c r="A142" s="13" t="s">
        <v>1906</v>
      </c>
      <c r="B142" s="13" t="s">
        <v>1903</v>
      </c>
      <c r="C142" s="14" t="s">
        <v>1310</v>
      </c>
      <c r="D142" s="14"/>
      <c r="E142" s="14" t="s">
        <v>1907</v>
      </c>
      <c r="F142" s="16" t="s">
        <v>1908</v>
      </c>
      <c r="G142" s="16"/>
      <c r="H142" s="14" t="n">
        <v>6</v>
      </c>
      <c r="I142" s="14"/>
      <c r="J142" s="14" t="s">
        <v>352</v>
      </c>
      <c r="K142" s="16"/>
      <c r="L142" s="16"/>
      <c r="M142" s="14"/>
      <c r="N142" s="13" t="s">
        <v>778</v>
      </c>
      <c r="O142" s="13" t="s">
        <v>1295</v>
      </c>
    </row>
    <row r="143" customFormat="false" ht="15" hidden="false" customHeight="false" outlineLevel="0" collapsed="false">
      <c r="A143" s="13" t="s">
        <v>1909</v>
      </c>
      <c r="B143" s="13" t="s">
        <v>1903</v>
      </c>
      <c r="C143" s="14" t="s">
        <v>1310</v>
      </c>
      <c r="D143" s="14"/>
      <c r="E143" s="14" t="s">
        <v>1910</v>
      </c>
      <c r="F143" s="16" t="s">
        <v>1911</v>
      </c>
      <c r="G143" s="16"/>
      <c r="H143" s="14" t="n">
        <v>9</v>
      </c>
      <c r="I143" s="14" t="n">
        <v>2</v>
      </c>
      <c r="J143" s="14" t="s">
        <v>352</v>
      </c>
      <c r="K143" s="16"/>
      <c r="L143" s="16"/>
      <c r="M143" s="14"/>
      <c r="N143" s="13" t="s">
        <v>778</v>
      </c>
      <c r="O143" s="13" t="s">
        <v>1295</v>
      </c>
    </row>
    <row r="144" customFormat="false" ht="15" hidden="false" customHeight="false" outlineLevel="0" collapsed="false">
      <c r="A144" s="13" t="s">
        <v>1912</v>
      </c>
      <c r="B144" s="13" t="s">
        <v>1903</v>
      </c>
      <c r="C144" s="14" t="s">
        <v>1310</v>
      </c>
      <c r="D144" s="14"/>
      <c r="E144" s="14" t="s">
        <v>1913</v>
      </c>
      <c r="F144" s="16" t="s">
        <v>1914</v>
      </c>
      <c r="G144" s="16"/>
      <c r="H144" s="14" t="n">
        <v>5</v>
      </c>
      <c r="I144" s="14"/>
      <c r="J144" s="14" t="s">
        <v>396</v>
      </c>
      <c r="K144" s="16"/>
      <c r="L144" s="16"/>
      <c r="M144" s="14"/>
      <c r="N144" s="13" t="s">
        <v>778</v>
      </c>
      <c r="O144" s="13" t="s">
        <v>1295</v>
      </c>
    </row>
    <row r="145" customFormat="false" ht="15" hidden="false" customHeight="false" outlineLevel="0" collapsed="false">
      <c r="A145" s="13" t="s">
        <v>1915</v>
      </c>
      <c r="B145" s="13" t="s">
        <v>1903</v>
      </c>
      <c r="C145" s="14" t="s">
        <v>1310</v>
      </c>
      <c r="D145" s="14"/>
      <c r="E145" s="14" t="s">
        <v>1916</v>
      </c>
      <c r="F145" s="16" t="s">
        <v>1917</v>
      </c>
      <c r="G145" s="16"/>
      <c r="H145" s="14" t="n">
        <v>4</v>
      </c>
      <c r="I145" s="14"/>
      <c r="J145" s="14" t="s">
        <v>352</v>
      </c>
      <c r="K145" s="16"/>
      <c r="L145" s="16"/>
      <c r="M145" s="14"/>
      <c r="N145" s="13" t="s">
        <v>778</v>
      </c>
      <c r="O145" s="13" t="s">
        <v>1295</v>
      </c>
    </row>
    <row r="146" customFormat="false" ht="15" hidden="false" customHeight="false" outlineLevel="0" collapsed="false">
      <c r="A146" s="13" t="s">
        <v>1918</v>
      </c>
      <c r="B146" s="13" t="s">
        <v>1903</v>
      </c>
      <c r="C146" s="14" t="s">
        <v>1310</v>
      </c>
      <c r="D146" s="14"/>
      <c r="E146" s="14" t="s">
        <v>1919</v>
      </c>
      <c r="F146" s="16" t="s">
        <v>1920</v>
      </c>
      <c r="G146" s="16"/>
      <c r="H146" s="14" t="n">
        <v>8</v>
      </c>
      <c r="I146" s="14"/>
      <c r="J146" s="14" t="s">
        <v>396</v>
      </c>
      <c r="K146" s="16"/>
      <c r="L146" s="16"/>
      <c r="M146" s="14"/>
      <c r="N146" s="13" t="s">
        <v>778</v>
      </c>
      <c r="O146" s="13" t="s">
        <v>1295</v>
      </c>
    </row>
    <row r="147" customFormat="false" ht="15" hidden="false" customHeight="false" outlineLevel="0" collapsed="false">
      <c r="A147" s="13" t="s">
        <v>1921</v>
      </c>
      <c r="B147" s="13" t="s">
        <v>1903</v>
      </c>
      <c r="C147" s="14" t="s">
        <v>1310</v>
      </c>
      <c r="D147" s="14"/>
      <c r="E147" s="14" t="s">
        <v>1922</v>
      </c>
      <c r="F147" s="16" t="s">
        <v>1923</v>
      </c>
      <c r="G147" s="16"/>
      <c r="H147" s="14" t="n">
        <v>3</v>
      </c>
      <c r="I147" s="14" t="n">
        <v>2</v>
      </c>
      <c r="J147" s="14" t="s">
        <v>352</v>
      </c>
      <c r="K147" s="16"/>
      <c r="L147" s="16"/>
      <c r="M147" s="14"/>
      <c r="N147" s="13" t="s">
        <v>778</v>
      </c>
      <c r="O147" s="13" t="s">
        <v>1295</v>
      </c>
    </row>
    <row r="148" customFormat="false" ht="15" hidden="false" customHeight="false" outlineLevel="0" collapsed="false">
      <c r="A148" s="13" t="s">
        <v>1924</v>
      </c>
      <c r="B148" s="13" t="s">
        <v>1903</v>
      </c>
      <c r="C148" s="14" t="s">
        <v>1310</v>
      </c>
      <c r="D148" s="14"/>
      <c r="E148" s="14" t="s">
        <v>1925</v>
      </c>
      <c r="F148" s="16" t="s">
        <v>1926</v>
      </c>
      <c r="G148" s="16"/>
      <c r="H148" s="14" t="n">
        <v>7</v>
      </c>
      <c r="I148" s="14"/>
      <c r="J148" s="14" t="s">
        <v>396</v>
      </c>
      <c r="K148" s="16"/>
      <c r="L148" s="16"/>
      <c r="M148" s="14"/>
      <c r="N148" s="13" t="s">
        <v>778</v>
      </c>
      <c r="O148" s="13" t="s">
        <v>1295</v>
      </c>
    </row>
    <row r="149" customFormat="false" ht="15" hidden="false" customHeight="false" outlineLevel="0" collapsed="false">
      <c r="A149" s="13" t="s">
        <v>1927</v>
      </c>
      <c r="B149" s="13" t="s">
        <v>1903</v>
      </c>
      <c r="C149" s="14" t="s">
        <v>1310</v>
      </c>
      <c r="D149" s="14"/>
      <c r="E149" s="14" t="s">
        <v>1928</v>
      </c>
      <c r="F149" s="16" t="s">
        <v>1929</v>
      </c>
      <c r="G149" s="16"/>
      <c r="H149" s="14" t="n">
        <v>3</v>
      </c>
      <c r="I149" s="14"/>
      <c r="J149" s="14" t="s">
        <v>352</v>
      </c>
      <c r="K149" s="16"/>
      <c r="L149" s="16"/>
      <c r="M149" s="14"/>
      <c r="N149" s="13" t="s">
        <v>778</v>
      </c>
      <c r="O149" s="13" t="s">
        <v>1295</v>
      </c>
    </row>
    <row r="150" customFormat="false" ht="15" hidden="false" customHeight="false" outlineLevel="0" collapsed="false">
      <c r="A150" s="13" t="s">
        <v>1930</v>
      </c>
      <c r="B150" s="13" t="s">
        <v>1903</v>
      </c>
      <c r="C150" s="14" t="s">
        <v>1310</v>
      </c>
      <c r="D150" s="14"/>
      <c r="E150" s="14" t="s">
        <v>1931</v>
      </c>
      <c r="F150" s="16" t="s">
        <v>1932</v>
      </c>
      <c r="G150" s="16"/>
      <c r="H150" s="14" t="n">
        <v>0</v>
      </c>
      <c r="I150" s="14" t="n">
        <v>2</v>
      </c>
      <c r="J150" s="14" t="s">
        <v>352</v>
      </c>
      <c r="K150" s="16"/>
      <c r="L150" s="16"/>
      <c r="M150" s="14"/>
      <c r="N150" s="13" t="s">
        <v>778</v>
      </c>
      <c r="O150" s="13" t="s">
        <v>1295</v>
      </c>
    </row>
    <row r="151" customFormat="false" ht="15" hidden="false" customHeight="false" outlineLevel="0" collapsed="false">
      <c r="A151" s="13" t="s">
        <v>1933</v>
      </c>
      <c r="B151" s="13" t="s">
        <v>1903</v>
      </c>
      <c r="C151" s="14" t="s">
        <v>1310</v>
      </c>
      <c r="D151" s="14"/>
      <c r="E151" s="14" t="s">
        <v>1934</v>
      </c>
      <c r="F151" s="16" t="s">
        <v>1935</v>
      </c>
      <c r="G151" s="16"/>
      <c r="H151" s="14" t="n">
        <v>6</v>
      </c>
      <c r="I151" s="14"/>
      <c r="J151" s="14" t="s">
        <v>396</v>
      </c>
      <c r="K151" s="16"/>
      <c r="L151" s="16"/>
      <c r="M151" s="14"/>
      <c r="N151" s="13" t="s">
        <v>778</v>
      </c>
      <c r="O151" s="13" t="s">
        <v>1295</v>
      </c>
    </row>
    <row r="152" customFormat="false" ht="15" hidden="false" customHeight="false" outlineLevel="0" collapsed="false">
      <c r="A152" s="13" t="s">
        <v>1936</v>
      </c>
      <c r="B152" s="13" t="s">
        <v>1903</v>
      </c>
      <c r="C152" s="14" t="s">
        <v>1310</v>
      </c>
      <c r="D152" s="14"/>
      <c r="E152" s="14" t="s">
        <v>1937</v>
      </c>
      <c r="F152" s="16" t="s">
        <v>1938</v>
      </c>
      <c r="G152" s="16"/>
      <c r="H152" s="14" t="n">
        <v>4</v>
      </c>
      <c r="I152" s="14" t="n">
        <v>1</v>
      </c>
      <c r="J152" s="14" t="s">
        <v>352</v>
      </c>
      <c r="K152" s="16"/>
      <c r="L152" s="16"/>
      <c r="M152" s="14"/>
      <c r="N152" s="13" t="s">
        <v>778</v>
      </c>
      <c r="O152" s="13" t="s">
        <v>1295</v>
      </c>
    </row>
    <row r="153" customFormat="false" ht="15" hidden="false" customHeight="false" outlineLevel="0" collapsed="false">
      <c r="A153" s="13" t="s">
        <v>1939</v>
      </c>
      <c r="B153" s="13" t="s">
        <v>1903</v>
      </c>
      <c r="C153" s="14" t="s">
        <v>1310</v>
      </c>
      <c r="D153" s="14"/>
      <c r="E153" s="14" t="s">
        <v>1940</v>
      </c>
      <c r="F153" s="16" t="s">
        <v>1941</v>
      </c>
      <c r="G153" s="16"/>
      <c r="H153" s="14" t="n">
        <v>3</v>
      </c>
      <c r="I153" s="14"/>
      <c r="J153" s="14" t="s">
        <v>396</v>
      </c>
      <c r="K153" s="16"/>
      <c r="L153" s="16"/>
      <c r="M153" s="14" t="s">
        <v>352</v>
      </c>
      <c r="N153" s="13" t="s">
        <v>778</v>
      </c>
      <c r="O153" s="13" t="s">
        <v>1295</v>
      </c>
    </row>
    <row r="154" customFormat="false" ht="15" hidden="false" customHeight="false" outlineLevel="0" collapsed="false">
      <c r="A154" s="13" t="s">
        <v>1942</v>
      </c>
      <c r="B154" s="13" t="s">
        <v>1903</v>
      </c>
      <c r="C154" s="14" t="s">
        <v>1310</v>
      </c>
      <c r="D154" s="14"/>
      <c r="E154" s="14" t="s">
        <v>1943</v>
      </c>
      <c r="F154" s="16" t="s">
        <v>1944</v>
      </c>
      <c r="G154" s="16"/>
      <c r="H154" s="14" t="n">
        <v>5</v>
      </c>
      <c r="I154" s="14"/>
      <c r="J154" s="14" t="s">
        <v>352</v>
      </c>
      <c r="K154" s="16"/>
      <c r="L154" s="16"/>
      <c r="M154" s="14"/>
      <c r="N154" s="13" t="s">
        <v>778</v>
      </c>
      <c r="O154" s="13" t="s">
        <v>1295</v>
      </c>
    </row>
    <row r="155" customFormat="false" ht="15" hidden="false" customHeight="false" outlineLevel="0" collapsed="false">
      <c r="A155" s="13" t="s">
        <v>1945</v>
      </c>
      <c r="B155" s="13" t="s">
        <v>1903</v>
      </c>
      <c r="C155" s="14" t="s">
        <v>1310</v>
      </c>
      <c r="D155" s="14"/>
      <c r="E155" s="14" t="s">
        <v>1946</v>
      </c>
      <c r="F155" s="16" t="s">
        <v>1947</v>
      </c>
      <c r="G155" s="16"/>
      <c r="H155" s="14" t="n">
        <v>2</v>
      </c>
      <c r="I155" s="14"/>
      <c r="J155" s="14" t="s">
        <v>396</v>
      </c>
      <c r="K155" s="16"/>
      <c r="L155" s="16"/>
      <c r="M155" s="14"/>
      <c r="N155" s="13" t="s">
        <v>778</v>
      </c>
      <c r="O155" s="13" t="s">
        <v>1295</v>
      </c>
    </row>
    <row r="156" customFormat="false" ht="15" hidden="false" customHeight="false" outlineLevel="0" collapsed="false">
      <c r="A156" s="13" t="s">
        <v>1948</v>
      </c>
      <c r="B156" s="13" t="s">
        <v>1903</v>
      </c>
      <c r="C156" s="14" t="s">
        <v>1310</v>
      </c>
      <c r="D156" s="14"/>
      <c r="E156" s="14" t="s">
        <v>1949</v>
      </c>
      <c r="F156" s="16" t="s">
        <v>1950</v>
      </c>
      <c r="G156" s="16"/>
      <c r="H156" s="14" t="n">
        <v>0</v>
      </c>
      <c r="I156" s="14" t="n">
        <v>2</v>
      </c>
      <c r="J156" s="14" t="s">
        <v>352</v>
      </c>
      <c r="K156" s="16"/>
      <c r="L156" s="16"/>
      <c r="M156" s="14"/>
      <c r="N156" s="13" t="s">
        <v>778</v>
      </c>
      <c r="O156" s="13" t="s">
        <v>1295</v>
      </c>
    </row>
    <row r="157" customFormat="false" ht="15" hidden="false" customHeight="false" outlineLevel="0" collapsed="false">
      <c r="A157" s="13" t="s">
        <v>1951</v>
      </c>
      <c r="B157" s="13" t="s">
        <v>1903</v>
      </c>
      <c r="C157" s="14" t="s">
        <v>1310</v>
      </c>
      <c r="D157" s="14"/>
      <c r="E157" s="14" t="s">
        <v>1952</v>
      </c>
      <c r="F157" s="16" t="s">
        <v>1953</v>
      </c>
      <c r="G157" s="16"/>
      <c r="H157" s="14" t="n">
        <v>4</v>
      </c>
      <c r="I157" s="14" t="n">
        <v>2</v>
      </c>
      <c r="J157" s="14" t="s">
        <v>396</v>
      </c>
      <c r="K157" s="16"/>
      <c r="L157" s="16"/>
      <c r="M157" s="14" t="s">
        <v>352</v>
      </c>
      <c r="N157" s="13" t="s">
        <v>778</v>
      </c>
      <c r="O157" s="13" t="s">
        <v>1295</v>
      </c>
    </row>
    <row r="158" customFormat="false" ht="15" hidden="false" customHeight="false" outlineLevel="0" collapsed="false">
      <c r="A158" s="13" t="s">
        <v>1954</v>
      </c>
      <c r="B158" s="13" t="s">
        <v>1903</v>
      </c>
      <c r="C158" s="14" t="s">
        <v>1310</v>
      </c>
      <c r="D158" s="14"/>
      <c r="E158" s="14" t="s">
        <v>1955</v>
      </c>
      <c r="F158" s="16" t="s">
        <v>1956</v>
      </c>
      <c r="G158" s="16"/>
      <c r="H158" s="14" t="n">
        <v>9</v>
      </c>
      <c r="I158" s="14"/>
      <c r="J158" s="14" t="s">
        <v>352</v>
      </c>
      <c r="K158" s="16"/>
      <c r="L158" s="16"/>
      <c r="M158" s="14"/>
      <c r="N158" s="13" t="s">
        <v>778</v>
      </c>
      <c r="O158" s="13" t="s">
        <v>1295</v>
      </c>
    </row>
    <row r="159" customFormat="false" ht="15" hidden="false" customHeight="false" outlineLevel="0" collapsed="false">
      <c r="A159" s="13" t="s">
        <v>1957</v>
      </c>
      <c r="B159" s="13" t="s">
        <v>1903</v>
      </c>
      <c r="C159" s="14" t="s">
        <v>1301</v>
      </c>
      <c r="D159" s="14"/>
      <c r="E159" s="14" t="s">
        <v>1958</v>
      </c>
      <c r="F159" s="16" t="s">
        <v>1959</v>
      </c>
      <c r="G159" s="16"/>
      <c r="H159" s="14" t="n">
        <v>8</v>
      </c>
      <c r="I159" s="14"/>
      <c r="J159" s="14" t="s">
        <v>352</v>
      </c>
      <c r="K159" s="16"/>
      <c r="L159" s="16"/>
      <c r="M159" s="14"/>
      <c r="N159" s="13" t="s">
        <v>778</v>
      </c>
      <c r="O159" s="13" t="s">
        <v>1295</v>
      </c>
    </row>
    <row r="160" customFormat="false" ht="15" hidden="false" customHeight="false" outlineLevel="0" collapsed="false">
      <c r="A160" s="13" t="s">
        <v>1960</v>
      </c>
      <c r="B160" s="13" t="s">
        <v>1903</v>
      </c>
      <c r="C160" s="14" t="s">
        <v>1301</v>
      </c>
      <c r="D160" s="14"/>
      <c r="E160" s="14" t="s">
        <v>1961</v>
      </c>
      <c r="F160" s="16" t="s">
        <v>1962</v>
      </c>
      <c r="G160" s="16"/>
      <c r="H160" s="14" t="n">
        <v>11</v>
      </c>
      <c r="I160" s="14"/>
      <c r="J160" s="14" t="s">
        <v>396</v>
      </c>
      <c r="K160" s="16"/>
      <c r="L160" s="16"/>
      <c r="M160" s="14"/>
      <c r="N160" s="13" t="s">
        <v>778</v>
      </c>
      <c r="O160" s="13" t="s">
        <v>1295</v>
      </c>
    </row>
    <row r="161" customFormat="false" ht="15" hidden="false" customHeight="false" outlineLevel="0" collapsed="false">
      <c r="A161" s="13" t="s">
        <v>1963</v>
      </c>
      <c r="B161" s="13" t="s">
        <v>1903</v>
      </c>
      <c r="C161" s="14" t="s">
        <v>1301</v>
      </c>
      <c r="D161" s="14"/>
      <c r="E161" s="14" t="s">
        <v>1964</v>
      </c>
      <c r="F161" s="16" t="s">
        <v>1965</v>
      </c>
      <c r="G161" s="16"/>
      <c r="H161" s="14" t="n">
        <v>6</v>
      </c>
      <c r="I161" s="14"/>
      <c r="J161" s="14" t="s">
        <v>396</v>
      </c>
      <c r="K161" s="16"/>
      <c r="L161" s="16"/>
      <c r="M161" s="14" t="s">
        <v>352</v>
      </c>
      <c r="N161" s="13" t="s">
        <v>778</v>
      </c>
      <c r="O161" s="13" t="s">
        <v>1295</v>
      </c>
    </row>
    <row r="162" customFormat="false" ht="15" hidden="false" customHeight="false" outlineLevel="0" collapsed="false">
      <c r="A162" s="13" t="s">
        <v>1966</v>
      </c>
      <c r="B162" s="13" t="s">
        <v>1903</v>
      </c>
      <c r="C162" s="14" t="s">
        <v>1301</v>
      </c>
      <c r="D162" s="14"/>
      <c r="E162" s="14" t="s">
        <v>1967</v>
      </c>
      <c r="F162" s="16" t="s">
        <v>1968</v>
      </c>
      <c r="G162" s="16"/>
      <c r="H162" s="14" t="n">
        <v>5</v>
      </c>
      <c r="I162" s="14"/>
      <c r="J162" s="14" t="s">
        <v>396</v>
      </c>
      <c r="K162" s="16"/>
      <c r="L162" s="16"/>
      <c r="M162" s="14"/>
      <c r="N162" s="13" t="s">
        <v>778</v>
      </c>
      <c r="O162" s="13" t="s">
        <v>1295</v>
      </c>
    </row>
    <row r="163" customFormat="false" ht="15" hidden="false" customHeight="false" outlineLevel="0" collapsed="false">
      <c r="A163" s="13" t="s">
        <v>1969</v>
      </c>
      <c r="B163" s="13" t="s">
        <v>1903</v>
      </c>
      <c r="C163" s="14" t="s">
        <v>1301</v>
      </c>
      <c r="D163" s="14"/>
      <c r="E163" s="14" t="s">
        <v>1970</v>
      </c>
      <c r="F163" s="16" t="s">
        <v>1971</v>
      </c>
      <c r="G163" s="16"/>
      <c r="H163" s="14" t="n">
        <v>9</v>
      </c>
      <c r="I163" s="14"/>
      <c r="J163" s="14" t="s">
        <v>396</v>
      </c>
      <c r="K163" s="16"/>
      <c r="L163" s="16"/>
      <c r="M163" s="14"/>
      <c r="N163" s="13" t="s">
        <v>778</v>
      </c>
      <c r="O163" s="13" t="s">
        <v>1295</v>
      </c>
    </row>
    <row r="164" customFormat="false" ht="15" hidden="false" customHeight="false" outlineLevel="0" collapsed="false">
      <c r="A164" s="13" t="s">
        <v>1972</v>
      </c>
      <c r="B164" s="13" t="s">
        <v>1903</v>
      </c>
      <c r="C164" s="14" t="s">
        <v>1301</v>
      </c>
      <c r="D164" s="14"/>
      <c r="E164" s="14" t="s">
        <v>1973</v>
      </c>
      <c r="F164" s="16" t="s">
        <v>1974</v>
      </c>
      <c r="G164" s="16"/>
      <c r="H164" s="14" t="n">
        <v>12</v>
      </c>
      <c r="I164" s="14"/>
      <c r="J164" s="14" t="s">
        <v>396</v>
      </c>
      <c r="K164" s="16"/>
      <c r="L164" s="16"/>
      <c r="M164" s="14"/>
      <c r="N164" s="13" t="s">
        <v>778</v>
      </c>
      <c r="O164" s="13" t="s">
        <v>1295</v>
      </c>
    </row>
    <row r="165" customFormat="false" ht="15" hidden="false" customHeight="false" outlineLevel="0" collapsed="false">
      <c r="A165" s="13" t="s">
        <v>1975</v>
      </c>
      <c r="B165" s="13" t="s">
        <v>1903</v>
      </c>
      <c r="C165" s="14" t="s">
        <v>1301</v>
      </c>
      <c r="D165" s="14"/>
      <c r="E165" s="14" t="s">
        <v>1976</v>
      </c>
      <c r="F165" s="16" t="s">
        <v>1977</v>
      </c>
      <c r="G165" s="16"/>
      <c r="H165" s="14" t="n">
        <v>25</v>
      </c>
      <c r="I165" s="14"/>
      <c r="J165" s="14" t="s">
        <v>352</v>
      </c>
      <c r="K165" s="16"/>
      <c r="L165" s="16"/>
      <c r="M165" s="14"/>
      <c r="N165" s="13" t="s">
        <v>778</v>
      </c>
      <c r="O165" s="13" t="s">
        <v>1295</v>
      </c>
    </row>
    <row r="166" customFormat="false" ht="15" hidden="false" customHeight="false" outlineLevel="0" collapsed="false">
      <c r="A166" s="13" t="s">
        <v>1978</v>
      </c>
      <c r="B166" s="13" t="s">
        <v>1903</v>
      </c>
      <c r="C166" s="14" t="s">
        <v>1301</v>
      </c>
      <c r="D166" s="14"/>
      <c r="E166" s="14" t="s">
        <v>1979</v>
      </c>
      <c r="F166" s="16" t="s">
        <v>1980</v>
      </c>
      <c r="G166" s="16"/>
      <c r="H166" s="14" t="n">
        <v>4</v>
      </c>
      <c r="I166" s="14"/>
      <c r="J166" s="14" t="s">
        <v>396</v>
      </c>
      <c r="K166" s="16"/>
      <c r="L166" s="16"/>
      <c r="M166" s="14" t="s">
        <v>352</v>
      </c>
      <c r="N166" s="13" t="s">
        <v>778</v>
      </c>
      <c r="O166" s="13" t="s">
        <v>1295</v>
      </c>
    </row>
    <row r="167" customFormat="false" ht="15" hidden="false" customHeight="false" outlineLevel="0" collapsed="false">
      <c r="A167" s="13" t="s">
        <v>1981</v>
      </c>
      <c r="B167" s="13" t="s">
        <v>1903</v>
      </c>
      <c r="C167" s="14" t="s">
        <v>1301</v>
      </c>
      <c r="D167" s="14"/>
      <c r="E167" s="14" t="s">
        <v>1982</v>
      </c>
      <c r="F167" s="16" t="s">
        <v>1983</v>
      </c>
      <c r="G167" s="16"/>
      <c r="H167" s="14" t="n">
        <v>2</v>
      </c>
      <c r="I167" s="14" t="n">
        <v>1</v>
      </c>
      <c r="J167" s="14" t="s">
        <v>396</v>
      </c>
      <c r="K167" s="16"/>
      <c r="L167" s="16"/>
      <c r="M167" s="14"/>
      <c r="N167" s="13" t="s">
        <v>778</v>
      </c>
      <c r="O167" s="13" t="s">
        <v>1295</v>
      </c>
    </row>
    <row r="168" customFormat="false" ht="15" hidden="false" customHeight="false" outlineLevel="0" collapsed="false">
      <c r="A168" s="13" t="s">
        <v>1984</v>
      </c>
      <c r="B168" s="13" t="s">
        <v>1903</v>
      </c>
      <c r="C168" s="14" t="s">
        <v>1301</v>
      </c>
      <c r="D168" s="14"/>
      <c r="E168" s="14" t="s">
        <v>1985</v>
      </c>
      <c r="F168" s="16" t="s">
        <v>1986</v>
      </c>
      <c r="G168" s="16"/>
      <c r="H168" s="14" t="n">
        <v>2</v>
      </c>
      <c r="I168" s="14"/>
      <c r="J168" s="14" t="s">
        <v>352</v>
      </c>
      <c r="K168" s="16"/>
      <c r="L168" s="16"/>
      <c r="M168" s="14"/>
      <c r="N168" s="13" t="s">
        <v>778</v>
      </c>
      <c r="O168" s="13" t="s">
        <v>1295</v>
      </c>
    </row>
    <row r="169" customFormat="false" ht="15" hidden="false" customHeight="false" outlineLevel="0" collapsed="false">
      <c r="A169" s="13" t="s">
        <v>1987</v>
      </c>
      <c r="B169" s="13" t="s">
        <v>1903</v>
      </c>
      <c r="C169" s="14" t="s">
        <v>1301</v>
      </c>
      <c r="D169" s="14"/>
      <c r="E169" s="14" t="s">
        <v>1988</v>
      </c>
      <c r="F169" s="16" t="s">
        <v>1989</v>
      </c>
      <c r="G169" s="16"/>
      <c r="H169" s="14" t="n">
        <v>13</v>
      </c>
      <c r="I169" s="14"/>
      <c r="J169" s="14" t="s">
        <v>352</v>
      </c>
      <c r="K169" s="16"/>
      <c r="L169" s="16"/>
      <c r="M169" s="14"/>
      <c r="N169" s="13" t="s">
        <v>778</v>
      </c>
      <c r="O169" s="13" t="s">
        <v>1295</v>
      </c>
    </row>
    <row r="170" customFormat="false" ht="15" hidden="false" customHeight="false" outlineLevel="0" collapsed="false">
      <c r="A170" s="13" t="s">
        <v>1990</v>
      </c>
      <c r="B170" s="13" t="s">
        <v>1903</v>
      </c>
      <c r="C170" s="14" t="s">
        <v>1301</v>
      </c>
      <c r="D170" s="14"/>
      <c r="E170" s="14" t="s">
        <v>1991</v>
      </c>
      <c r="F170" s="16" t="s">
        <v>1992</v>
      </c>
      <c r="G170" s="16"/>
      <c r="H170" s="14" t="n">
        <v>6</v>
      </c>
      <c r="I170" s="14"/>
      <c r="J170" s="14" t="s">
        <v>396</v>
      </c>
      <c r="K170" s="16"/>
      <c r="L170" s="16"/>
      <c r="M170" s="14"/>
      <c r="N170" s="13" t="s">
        <v>778</v>
      </c>
      <c r="O170" s="13" t="s">
        <v>1295</v>
      </c>
    </row>
    <row r="171" customFormat="false" ht="15" hidden="false" customHeight="false" outlineLevel="0" collapsed="false">
      <c r="A171" s="13" t="s">
        <v>1993</v>
      </c>
      <c r="B171" s="13" t="s">
        <v>1903</v>
      </c>
      <c r="C171" s="14" t="s">
        <v>1301</v>
      </c>
      <c r="D171" s="14"/>
      <c r="E171" s="14" t="s">
        <v>1994</v>
      </c>
      <c r="F171" s="16" t="s">
        <v>1995</v>
      </c>
      <c r="G171" s="16"/>
      <c r="H171" s="14" t="n">
        <v>5</v>
      </c>
      <c r="I171" s="14"/>
      <c r="J171" s="14" t="s">
        <v>396</v>
      </c>
      <c r="K171" s="16"/>
      <c r="L171" s="16"/>
      <c r="M171" s="14" t="s">
        <v>352</v>
      </c>
      <c r="N171" s="13" t="s">
        <v>778</v>
      </c>
      <c r="O171" s="13" t="s">
        <v>1295</v>
      </c>
    </row>
    <row r="172" customFormat="false" ht="15" hidden="false" customHeight="false" outlineLevel="0" collapsed="false">
      <c r="A172" s="13" t="s">
        <v>1996</v>
      </c>
      <c r="B172" s="13" t="s">
        <v>1903</v>
      </c>
      <c r="C172" s="14" t="s">
        <v>1301</v>
      </c>
      <c r="D172" s="14"/>
      <c r="E172" s="14" t="s">
        <v>1997</v>
      </c>
      <c r="F172" s="16" t="s">
        <v>1998</v>
      </c>
      <c r="G172" s="16"/>
      <c r="H172" s="14" t="n">
        <v>8</v>
      </c>
      <c r="I172" s="14"/>
      <c r="J172" s="14" t="s">
        <v>396</v>
      </c>
      <c r="K172" s="16"/>
      <c r="L172" s="16"/>
      <c r="M172" s="14"/>
      <c r="N172" s="13" t="s">
        <v>778</v>
      </c>
      <c r="O172" s="13" t="s">
        <v>1295</v>
      </c>
    </row>
    <row r="173" customFormat="false" ht="15" hidden="false" customHeight="false" outlineLevel="0" collapsed="false">
      <c r="A173" s="13" t="s">
        <v>1999</v>
      </c>
      <c r="B173" s="13" t="s">
        <v>1903</v>
      </c>
      <c r="C173" s="14" t="s">
        <v>1319</v>
      </c>
      <c r="D173" s="14"/>
      <c r="E173" s="14" t="s">
        <v>2000</v>
      </c>
      <c r="F173" s="16" t="s">
        <v>2001</v>
      </c>
      <c r="G173" s="16"/>
      <c r="H173" s="14" t="n">
        <v>18</v>
      </c>
      <c r="I173" s="14"/>
      <c r="J173" s="14" t="s">
        <v>396</v>
      </c>
      <c r="K173" s="16"/>
      <c r="L173" s="16"/>
      <c r="M173" s="14"/>
      <c r="N173" s="13" t="s">
        <v>778</v>
      </c>
      <c r="O173" s="13" t="s">
        <v>1295</v>
      </c>
    </row>
    <row r="174" customFormat="false" ht="15" hidden="false" customHeight="false" outlineLevel="0" collapsed="false">
      <c r="A174" s="13" t="s">
        <v>2002</v>
      </c>
      <c r="B174" s="13" t="s">
        <v>1903</v>
      </c>
      <c r="C174" s="14" t="s">
        <v>1319</v>
      </c>
      <c r="D174" s="14"/>
      <c r="E174" s="14" t="s">
        <v>2003</v>
      </c>
      <c r="F174" s="16" t="s">
        <v>2004</v>
      </c>
      <c r="G174" s="16"/>
      <c r="H174" s="14" t="n">
        <v>26</v>
      </c>
      <c r="I174" s="14"/>
      <c r="J174" s="14" t="s">
        <v>396</v>
      </c>
      <c r="K174" s="16"/>
      <c r="L174" s="16"/>
      <c r="M174" s="14"/>
      <c r="N174" s="13" t="s">
        <v>778</v>
      </c>
      <c r="O174" s="13" t="s">
        <v>1295</v>
      </c>
    </row>
    <row r="175" customFormat="false" ht="15" hidden="false" customHeight="false" outlineLevel="0" collapsed="false">
      <c r="A175" s="13" t="s">
        <v>2005</v>
      </c>
      <c r="B175" s="13" t="s">
        <v>1903</v>
      </c>
      <c r="C175" s="14" t="s">
        <v>1319</v>
      </c>
      <c r="D175" s="14"/>
      <c r="E175" s="14" t="s">
        <v>2006</v>
      </c>
      <c r="F175" s="16" t="s">
        <v>2007</v>
      </c>
      <c r="G175" s="16"/>
      <c r="H175" s="14" t="n">
        <v>22</v>
      </c>
      <c r="I175" s="14"/>
      <c r="J175" s="14" t="s">
        <v>396</v>
      </c>
      <c r="K175" s="16"/>
      <c r="L175" s="16"/>
      <c r="M175" s="14"/>
      <c r="N175" s="13" t="s">
        <v>778</v>
      </c>
      <c r="O175" s="13" t="s">
        <v>1295</v>
      </c>
    </row>
    <row r="176" customFormat="false" ht="15" hidden="false" customHeight="false" outlineLevel="0" collapsed="false">
      <c r="A176" s="13" t="s">
        <v>2008</v>
      </c>
      <c r="B176" s="13" t="s">
        <v>1903</v>
      </c>
      <c r="C176" s="14" t="s">
        <v>1319</v>
      </c>
      <c r="D176" s="14"/>
      <c r="E176" s="14" t="s">
        <v>2009</v>
      </c>
      <c r="F176" s="16" t="s">
        <v>2010</v>
      </c>
      <c r="G176" s="16"/>
      <c r="H176" s="14" t="n">
        <v>4</v>
      </c>
      <c r="I176" s="14"/>
      <c r="J176" s="14" t="s">
        <v>352</v>
      </c>
      <c r="K176" s="16"/>
      <c r="L176" s="16"/>
      <c r="M176" s="14"/>
      <c r="N176" s="13" t="s">
        <v>778</v>
      </c>
      <c r="O176" s="13" t="s">
        <v>1295</v>
      </c>
    </row>
    <row r="177" customFormat="false" ht="15" hidden="false" customHeight="false" outlineLevel="0" collapsed="false">
      <c r="A177" s="13" t="s">
        <v>2011</v>
      </c>
      <c r="B177" s="13" t="s">
        <v>1903</v>
      </c>
      <c r="C177" s="14" t="s">
        <v>1319</v>
      </c>
      <c r="D177" s="14"/>
      <c r="E177" s="14" t="s">
        <v>2012</v>
      </c>
      <c r="F177" s="16" t="s">
        <v>2013</v>
      </c>
      <c r="G177" s="16"/>
      <c r="H177" s="14" t="n">
        <v>20</v>
      </c>
      <c r="I177" s="14"/>
      <c r="J177" s="14" t="s">
        <v>396</v>
      </c>
      <c r="K177" s="16"/>
      <c r="L177" s="16"/>
      <c r="M177" s="14"/>
      <c r="N177" s="13" t="s">
        <v>778</v>
      </c>
      <c r="O177" s="13" t="s">
        <v>1295</v>
      </c>
    </row>
    <row r="178" customFormat="false" ht="15" hidden="false" customHeight="false" outlineLevel="0" collapsed="false">
      <c r="A178" s="13" t="s">
        <v>2014</v>
      </c>
      <c r="B178" s="13" t="s">
        <v>1903</v>
      </c>
      <c r="C178" s="14" t="s">
        <v>1319</v>
      </c>
      <c r="D178" s="14"/>
      <c r="E178" s="14" t="s">
        <v>2015</v>
      </c>
      <c r="F178" s="16" t="s">
        <v>2016</v>
      </c>
      <c r="G178" s="16"/>
      <c r="H178" s="14" t="n">
        <v>30</v>
      </c>
      <c r="I178" s="14"/>
      <c r="J178" s="14" t="s">
        <v>396</v>
      </c>
      <c r="K178" s="16"/>
      <c r="L178" s="16"/>
      <c r="M178" s="14"/>
      <c r="N178" s="13" t="s">
        <v>778</v>
      </c>
      <c r="O178" s="13" t="s">
        <v>1295</v>
      </c>
    </row>
    <row r="179" customFormat="false" ht="15" hidden="false" customHeight="false" outlineLevel="0" collapsed="false">
      <c r="A179" s="13" t="s">
        <v>2017</v>
      </c>
      <c r="B179" s="13" t="s">
        <v>1903</v>
      </c>
      <c r="C179" s="14" t="s">
        <v>1319</v>
      </c>
      <c r="D179" s="14"/>
      <c r="E179" s="14" t="s">
        <v>1049</v>
      </c>
      <c r="F179" s="16" t="s">
        <v>2018</v>
      </c>
      <c r="G179" s="16"/>
      <c r="H179" s="14" t="n">
        <v>0</v>
      </c>
      <c r="I179" s="14" t="n">
        <v>1</v>
      </c>
      <c r="J179" s="14" t="s">
        <v>396</v>
      </c>
      <c r="K179" s="16"/>
      <c r="L179" s="16"/>
      <c r="M179" s="14"/>
      <c r="N179" s="13" t="s">
        <v>778</v>
      </c>
      <c r="O179" s="13" t="s">
        <v>1295</v>
      </c>
    </row>
    <row r="180" customFormat="false" ht="15" hidden="false" customHeight="false" outlineLevel="0" collapsed="false">
      <c r="A180" s="13" t="s">
        <v>2019</v>
      </c>
      <c r="B180" s="13" t="s">
        <v>1903</v>
      </c>
      <c r="C180" s="14" t="s">
        <v>1319</v>
      </c>
      <c r="D180" s="14"/>
      <c r="E180" s="14" t="s">
        <v>2020</v>
      </c>
      <c r="F180" s="16" t="s">
        <v>2021</v>
      </c>
      <c r="G180" s="16"/>
      <c r="H180" s="14" t="n">
        <v>9</v>
      </c>
      <c r="I180" s="14"/>
      <c r="J180" s="14" t="s">
        <v>396</v>
      </c>
      <c r="K180" s="16"/>
      <c r="L180" s="16"/>
      <c r="M180" s="14"/>
      <c r="N180" s="13" t="s">
        <v>778</v>
      </c>
      <c r="O180" s="13" t="s">
        <v>1295</v>
      </c>
    </row>
    <row r="181" customFormat="false" ht="15" hidden="false" customHeight="false" outlineLevel="0" collapsed="false">
      <c r="A181" s="13" t="s">
        <v>2022</v>
      </c>
      <c r="B181" s="13" t="s">
        <v>1903</v>
      </c>
      <c r="C181" s="14" t="s">
        <v>1319</v>
      </c>
      <c r="D181" s="14"/>
      <c r="E181" s="14" t="s">
        <v>2023</v>
      </c>
      <c r="F181" s="16" t="s">
        <v>2024</v>
      </c>
      <c r="G181" s="16"/>
      <c r="H181" s="14" t="n">
        <v>7</v>
      </c>
      <c r="I181" s="14"/>
      <c r="J181" s="14" t="s">
        <v>352</v>
      </c>
      <c r="K181" s="16"/>
      <c r="L181" s="16"/>
      <c r="M181" s="14"/>
      <c r="N181" s="13" t="s">
        <v>778</v>
      </c>
      <c r="O181" s="13" t="s">
        <v>1295</v>
      </c>
    </row>
    <row r="182" customFormat="false" ht="15" hidden="false" customHeight="false" outlineLevel="0" collapsed="false">
      <c r="A182" s="13" t="s">
        <v>2025</v>
      </c>
      <c r="B182" s="13" t="s">
        <v>1903</v>
      </c>
      <c r="C182" s="14" t="s">
        <v>1319</v>
      </c>
      <c r="D182" s="14"/>
      <c r="E182" s="14" t="s">
        <v>2026</v>
      </c>
      <c r="F182" s="16" t="s">
        <v>2027</v>
      </c>
      <c r="G182" s="16"/>
      <c r="H182" s="14" t="n">
        <v>10</v>
      </c>
      <c r="I182" s="14"/>
      <c r="J182" s="14" t="s">
        <v>352</v>
      </c>
      <c r="K182" s="16"/>
      <c r="L182" s="16"/>
      <c r="M182" s="14"/>
      <c r="N182" s="13" t="s">
        <v>778</v>
      </c>
      <c r="O182" s="13" t="s">
        <v>1295</v>
      </c>
    </row>
    <row r="183" customFormat="false" ht="15" hidden="false" customHeight="false" outlineLevel="0" collapsed="false">
      <c r="A183" s="13" t="s">
        <v>2028</v>
      </c>
      <c r="B183" s="13" t="s">
        <v>1903</v>
      </c>
      <c r="C183" s="14" t="s">
        <v>1319</v>
      </c>
      <c r="D183" s="14"/>
      <c r="E183" s="14" t="s">
        <v>2029</v>
      </c>
      <c r="F183" s="16" t="s">
        <v>2030</v>
      </c>
      <c r="G183" s="16"/>
      <c r="H183" s="14" t="n">
        <v>12</v>
      </c>
      <c r="I183" s="14"/>
      <c r="J183" s="14" t="s">
        <v>352</v>
      </c>
      <c r="K183" s="16"/>
      <c r="L183" s="16"/>
      <c r="M183" s="14"/>
      <c r="N183" s="13" t="s">
        <v>778</v>
      </c>
      <c r="O183" s="13" t="s">
        <v>1295</v>
      </c>
    </row>
    <row r="184" customFormat="false" ht="15" hidden="false" customHeight="false" outlineLevel="0" collapsed="false">
      <c r="A184" s="13" t="s">
        <v>2031</v>
      </c>
      <c r="B184" s="13" t="s">
        <v>1903</v>
      </c>
      <c r="C184" s="14" t="s">
        <v>1319</v>
      </c>
      <c r="D184" s="14"/>
      <c r="E184" s="14" t="s">
        <v>2032</v>
      </c>
      <c r="F184" s="16" t="s">
        <v>2033</v>
      </c>
      <c r="G184" s="16"/>
      <c r="H184" s="14" t="n">
        <v>8</v>
      </c>
      <c r="I184" s="14"/>
      <c r="J184" s="14" t="s">
        <v>396</v>
      </c>
      <c r="K184" s="16"/>
      <c r="L184" s="16"/>
      <c r="M184" s="14"/>
      <c r="N184" s="13" t="s">
        <v>778</v>
      </c>
      <c r="O184" s="13" t="s">
        <v>1295</v>
      </c>
    </row>
    <row r="185" customFormat="false" ht="15" hidden="false" customHeight="false" outlineLevel="0" collapsed="false">
      <c r="A185" s="13" t="s">
        <v>2034</v>
      </c>
      <c r="B185" s="13" t="s">
        <v>1903</v>
      </c>
      <c r="C185" s="14" t="s">
        <v>1319</v>
      </c>
      <c r="D185" s="14"/>
      <c r="E185" s="14" t="s">
        <v>2035</v>
      </c>
      <c r="F185" s="16" t="s">
        <v>2036</v>
      </c>
      <c r="G185" s="16"/>
      <c r="H185" s="14" t="n">
        <v>0</v>
      </c>
      <c r="I185" s="14" t="n">
        <v>2</v>
      </c>
      <c r="J185" s="14" t="s">
        <v>396</v>
      </c>
      <c r="K185" s="16"/>
      <c r="L185" s="16"/>
      <c r="M185" s="14"/>
      <c r="N185" s="13" t="s">
        <v>778</v>
      </c>
      <c r="O185" s="13" t="s">
        <v>1295</v>
      </c>
    </row>
    <row r="186" customFormat="false" ht="15" hidden="false" customHeight="false" outlineLevel="0" collapsed="false">
      <c r="A186" s="13" t="s">
        <v>2037</v>
      </c>
      <c r="B186" s="13" t="s">
        <v>1903</v>
      </c>
      <c r="C186" s="14" t="s">
        <v>1319</v>
      </c>
      <c r="D186" s="14"/>
      <c r="E186" s="14" t="s">
        <v>2038</v>
      </c>
      <c r="F186" s="16" t="s">
        <v>2039</v>
      </c>
      <c r="G186" s="16"/>
      <c r="H186" s="14" t="n">
        <v>6</v>
      </c>
      <c r="I186" s="14"/>
      <c r="J186" s="14" t="s">
        <v>352</v>
      </c>
      <c r="K186" s="16"/>
      <c r="L186" s="16"/>
      <c r="M186" s="14"/>
      <c r="N186" s="13" t="s">
        <v>778</v>
      </c>
      <c r="O186" s="13" t="s">
        <v>1295</v>
      </c>
    </row>
    <row r="187" customFormat="false" ht="15" hidden="false" customHeight="false" outlineLevel="0" collapsed="false">
      <c r="A187" s="13" t="s">
        <v>2040</v>
      </c>
      <c r="B187" s="13" t="s">
        <v>1903</v>
      </c>
      <c r="C187" s="14" t="s">
        <v>1319</v>
      </c>
      <c r="D187" s="14"/>
      <c r="E187" s="14" t="s">
        <v>2041</v>
      </c>
      <c r="F187" s="16" t="s">
        <v>2042</v>
      </c>
      <c r="G187" s="16"/>
      <c r="H187" s="14" t="n">
        <v>5</v>
      </c>
      <c r="I187" s="14"/>
      <c r="J187" s="14" t="s">
        <v>396</v>
      </c>
      <c r="K187" s="16"/>
      <c r="L187" s="16"/>
      <c r="M187" s="14"/>
      <c r="N187" s="13" t="s">
        <v>778</v>
      </c>
      <c r="O187" s="13" t="s">
        <v>1295</v>
      </c>
    </row>
    <row r="188" customFormat="false" ht="15" hidden="false" customHeight="false" outlineLevel="0" collapsed="false">
      <c r="A188" s="13" t="s">
        <v>2043</v>
      </c>
      <c r="B188" s="13" t="s">
        <v>1903</v>
      </c>
      <c r="C188" s="14" t="s">
        <v>1319</v>
      </c>
      <c r="D188" s="14"/>
      <c r="E188" s="14" t="s">
        <v>2044</v>
      </c>
      <c r="F188" s="16" t="s">
        <v>2045</v>
      </c>
      <c r="G188" s="16"/>
      <c r="H188" s="14" t="n">
        <v>28</v>
      </c>
      <c r="I188" s="14"/>
      <c r="J188" s="14" t="s">
        <v>396</v>
      </c>
      <c r="K188" s="16"/>
      <c r="L188" s="16"/>
      <c r="M188" s="14"/>
      <c r="N188" s="13" t="s">
        <v>778</v>
      </c>
      <c r="O188" s="13" t="s">
        <v>1295</v>
      </c>
    </row>
    <row r="189" customFormat="false" ht="15" hidden="false" customHeight="false" outlineLevel="0" collapsed="false">
      <c r="A189" s="13" t="s">
        <v>2046</v>
      </c>
      <c r="B189" s="13" t="s">
        <v>1903</v>
      </c>
      <c r="C189" s="14" t="s">
        <v>1319</v>
      </c>
      <c r="D189" s="14"/>
      <c r="E189" s="14" t="s">
        <v>2047</v>
      </c>
      <c r="F189" s="16" t="s">
        <v>2048</v>
      </c>
      <c r="G189" s="16"/>
      <c r="H189" s="14" t="n">
        <v>16</v>
      </c>
      <c r="I189" s="14"/>
      <c r="J189" s="14" t="s">
        <v>396</v>
      </c>
      <c r="K189" s="16"/>
      <c r="L189" s="16"/>
      <c r="M189" s="14"/>
      <c r="N189" s="13" t="s">
        <v>778</v>
      </c>
      <c r="O189" s="13" t="s">
        <v>1295</v>
      </c>
    </row>
    <row r="190" customFormat="false" ht="15" hidden="false" customHeight="false" outlineLevel="0" collapsed="false">
      <c r="A190" s="13" t="s">
        <v>2049</v>
      </c>
      <c r="B190" s="13" t="s">
        <v>1903</v>
      </c>
      <c r="C190" s="14" t="s">
        <v>1319</v>
      </c>
      <c r="D190" s="14"/>
      <c r="E190" s="14" t="s">
        <v>2050</v>
      </c>
      <c r="F190" s="16" t="s">
        <v>2051</v>
      </c>
      <c r="G190" s="16"/>
      <c r="H190" s="14" t="n">
        <v>11</v>
      </c>
      <c r="I190" s="14"/>
      <c r="J190" s="14" t="s">
        <v>352</v>
      </c>
      <c r="K190" s="16"/>
      <c r="L190" s="16"/>
      <c r="M190" s="14"/>
      <c r="N190" s="13" t="s">
        <v>778</v>
      </c>
      <c r="O190" s="13" t="s">
        <v>1295</v>
      </c>
    </row>
    <row r="191" customFormat="false" ht="15" hidden="false" customHeight="false" outlineLevel="0" collapsed="false">
      <c r="A191" s="13" t="s">
        <v>2052</v>
      </c>
      <c r="B191" s="13" t="s">
        <v>1903</v>
      </c>
      <c r="C191" s="14" t="s">
        <v>1324</v>
      </c>
      <c r="D191" s="14"/>
      <c r="E191" s="14" t="s">
        <v>2053</v>
      </c>
      <c r="F191" s="16" t="s">
        <v>2054</v>
      </c>
      <c r="G191" s="16"/>
      <c r="H191" s="14" t="n">
        <v>5</v>
      </c>
      <c r="I191" s="14"/>
      <c r="J191" s="14" t="s">
        <v>396</v>
      </c>
      <c r="K191" s="16"/>
      <c r="L191" s="16"/>
      <c r="M191" s="14"/>
      <c r="N191" s="13" t="s">
        <v>778</v>
      </c>
      <c r="O191" s="13" t="s">
        <v>1295</v>
      </c>
    </row>
    <row r="192" customFormat="false" ht="15" hidden="false" customHeight="false" outlineLevel="0" collapsed="false">
      <c r="A192" s="13" t="s">
        <v>2055</v>
      </c>
      <c r="B192" s="13" t="s">
        <v>1903</v>
      </c>
      <c r="C192" s="14" t="s">
        <v>1324</v>
      </c>
      <c r="D192" s="14"/>
      <c r="E192" s="14" t="s">
        <v>2056</v>
      </c>
      <c r="F192" s="16" t="s">
        <v>2057</v>
      </c>
      <c r="G192" s="16"/>
      <c r="H192" s="14" t="n">
        <v>16</v>
      </c>
      <c r="I192" s="14"/>
      <c r="J192" s="14" t="s">
        <v>396</v>
      </c>
      <c r="K192" s="16"/>
      <c r="L192" s="16"/>
      <c r="M192" s="14"/>
      <c r="N192" s="13" t="s">
        <v>778</v>
      </c>
      <c r="O192" s="13" t="s">
        <v>1295</v>
      </c>
    </row>
    <row r="193" customFormat="false" ht="15" hidden="false" customHeight="false" outlineLevel="0" collapsed="false">
      <c r="A193" s="13" t="s">
        <v>2058</v>
      </c>
      <c r="B193" s="13" t="s">
        <v>1903</v>
      </c>
      <c r="C193" s="14" t="s">
        <v>1324</v>
      </c>
      <c r="D193" s="14"/>
      <c r="E193" s="14" t="s">
        <v>2059</v>
      </c>
      <c r="F193" s="16" t="s">
        <v>2060</v>
      </c>
      <c r="G193" s="16"/>
      <c r="H193" s="14" t="n">
        <v>0</v>
      </c>
      <c r="I193" s="14" t="n">
        <v>2</v>
      </c>
      <c r="J193" s="14" t="s">
        <v>396</v>
      </c>
      <c r="K193" s="16"/>
      <c r="L193" s="16"/>
      <c r="M193" s="14"/>
      <c r="N193" s="13" t="s">
        <v>778</v>
      </c>
      <c r="O193" s="13" t="s">
        <v>1295</v>
      </c>
    </row>
    <row r="194" customFormat="false" ht="15" hidden="false" customHeight="false" outlineLevel="0" collapsed="false">
      <c r="A194" s="13" t="s">
        <v>2061</v>
      </c>
      <c r="B194" s="13" t="s">
        <v>1903</v>
      </c>
      <c r="C194" s="14" t="s">
        <v>1324</v>
      </c>
      <c r="D194" s="14"/>
      <c r="E194" s="14" t="s">
        <v>2062</v>
      </c>
      <c r="F194" s="16" t="s">
        <v>2063</v>
      </c>
      <c r="G194" s="16"/>
      <c r="H194" s="14" t="n">
        <v>7</v>
      </c>
      <c r="I194" s="14"/>
      <c r="J194" s="14" t="s">
        <v>352</v>
      </c>
      <c r="K194" s="16"/>
      <c r="L194" s="16"/>
      <c r="M194" s="14"/>
      <c r="N194" s="13" t="s">
        <v>778</v>
      </c>
      <c r="O194" s="13" t="s">
        <v>1295</v>
      </c>
    </row>
    <row r="195" customFormat="false" ht="15" hidden="false" customHeight="false" outlineLevel="0" collapsed="false">
      <c r="A195" s="13" t="s">
        <v>2064</v>
      </c>
      <c r="B195" s="13" t="s">
        <v>1903</v>
      </c>
      <c r="C195" s="14" t="s">
        <v>1324</v>
      </c>
      <c r="D195" s="14"/>
      <c r="E195" s="14" t="s">
        <v>2065</v>
      </c>
      <c r="F195" s="16" t="s">
        <v>2066</v>
      </c>
      <c r="G195" s="16"/>
      <c r="H195" s="14" t="n">
        <v>8</v>
      </c>
      <c r="I195" s="14"/>
      <c r="J195" s="14" t="s">
        <v>396</v>
      </c>
      <c r="K195" s="16"/>
      <c r="L195" s="16"/>
      <c r="M195" s="14"/>
      <c r="N195" s="13" t="s">
        <v>778</v>
      </c>
      <c r="O195" s="13" t="s">
        <v>1295</v>
      </c>
    </row>
    <row r="196" customFormat="false" ht="15" hidden="false" customHeight="false" outlineLevel="0" collapsed="false">
      <c r="A196" s="13" t="s">
        <v>2067</v>
      </c>
      <c r="B196" s="13" t="s">
        <v>1903</v>
      </c>
      <c r="C196" s="14" t="s">
        <v>1324</v>
      </c>
      <c r="D196" s="14"/>
      <c r="E196" s="14" t="s">
        <v>2068</v>
      </c>
      <c r="F196" s="16" t="s">
        <v>2069</v>
      </c>
      <c r="G196" s="16"/>
      <c r="H196" s="14" t="n">
        <v>0</v>
      </c>
      <c r="I196" s="14" t="n">
        <v>3</v>
      </c>
      <c r="J196" s="14" t="s">
        <v>396</v>
      </c>
      <c r="K196" s="16"/>
      <c r="L196" s="16"/>
      <c r="M196" s="14"/>
      <c r="N196" s="13" t="s">
        <v>778</v>
      </c>
      <c r="O196" s="13" t="s">
        <v>1295</v>
      </c>
    </row>
    <row r="197" customFormat="false" ht="15" hidden="false" customHeight="false" outlineLevel="0" collapsed="false">
      <c r="A197" s="13" t="s">
        <v>2070</v>
      </c>
      <c r="B197" s="13" t="s">
        <v>1903</v>
      </c>
      <c r="C197" s="14" t="s">
        <v>1324</v>
      </c>
      <c r="D197" s="14"/>
      <c r="E197" s="14" t="s">
        <v>2071</v>
      </c>
      <c r="F197" s="16" t="s">
        <v>2072</v>
      </c>
      <c r="G197" s="16"/>
      <c r="H197" s="14" t="n">
        <v>0</v>
      </c>
      <c r="I197" s="14" t="n">
        <v>2</v>
      </c>
      <c r="J197" s="14" t="s">
        <v>352</v>
      </c>
      <c r="K197" s="16"/>
      <c r="L197" s="16"/>
      <c r="M197" s="14"/>
      <c r="N197" s="13" t="s">
        <v>778</v>
      </c>
      <c r="O197" s="13" t="s">
        <v>1295</v>
      </c>
    </row>
    <row r="198" customFormat="false" ht="15" hidden="false" customHeight="false" outlineLevel="0" collapsed="false">
      <c r="A198" s="13" t="s">
        <v>2073</v>
      </c>
      <c r="B198" s="13" t="s">
        <v>1903</v>
      </c>
      <c r="C198" s="14" t="s">
        <v>1324</v>
      </c>
      <c r="D198" s="14"/>
      <c r="E198" s="14" t="s">
        <v>2074</v>
      </c>
      <c r="F198" s="16" t="s">
        <v>2075</v>
      </c>
      <c r="G198" s="16"/>
      <c r="H198" s="14" t="n">
        <v>4</v>
      </c>
      <c r="I198" s="14"/>
      <c r="J198" s="14" t="s">
        <v>396</v>
      </c>
      <c r="K198" s="16"/>
      <c r="L198" s="16"/>
      <c r="M198" s="14"/>
      <c r="N198" s="13" t="s">
        <v>778</v>
      </c>
      <c r="O198" s="13" t="s">
        <v>1295</v>
      </c>
    </row>
    <row r="199" customFormat="false" ht="15" hidden="false" customHeight="false" outlineLevel="0" collapsed="false">
      <c r="A199" s="13" t="s">
        <v>2076</v>
      </c>
      <c r="B199" s="13" t="s">
        <v>1903</v>
      </c>
      <c r="C199" s="14" t="s">
        <v>1324</v>
      </c>
      <c r="D199" s="14"/>
      <c r="E199" s="14" t="s">
        <v>2077</v>
      </c>
      <c r="F199" s="16" t="s">
        <v>2078</v>
      </c>
      <c r="G199" s="16"/>
      <c r="H199" s="14" t="n">
        <v>4</v>
      </c>
      <c r="I199" s="14"/>
      <c r="J199" s="14" t="s">
        <v>396</v>
      </c>
      <c r="K199" s="16"/>
      <c r="L199" s="16"/>
      <c r="M199" s="14"/>
      <c r="N199" s="13" t="s">
        <v>778</v>
      </c>
      <c r="O199" s="13" t="s">
        <v>1295</v>
      </c>
    </row>
    <row r="200" customFormat="false" ht="15" hidden="false" customHeight="false" outlineLevel="0" collapsed="false">
      <c r="A200" s="13" t="s">
        <v>2079</v>
      </c>
      <c r="B200" s="13" t="s">
        <v>1903</v>
      </c>
      <c r="C200" s="14" t="s">
        <v>1324</v>
      </c>
      <c r="D200" s="14"/>
      <c r="E200" s="14" t="s">
        <v>2080</v>
      </c>
      <c r="F200" s="16" t="s">
        <v>2081</v>
      </c>
      <c r="G200" s="16"/>
      <c r="H200" s="14" t="n">
        <v>2</v>
      </c>
      <c r="I200" s="14"/>
      <c r="J200" s="14" t="s">
        <v>396</v>
      </c>
      <c r="K200" s="16"/>
      <c r="L200" s="16"/>
      <c r="M200" s="14"/>
      <c r="N200" s="13" t="s">
        <v>778</v>
      </c>
      <c r="O200" s="13" t="s">
        <v>1295</v>
      </c>
    </row>
    <row r="201" customFormat="false" ht="15" hidden="false" customHeight="false" outlineLevel="0" collapsed="false">
      <c r="A201" s="13" t="s">
        <v>2082</v>
      </c>
      <c r="B201" s="13" t="s">
        <v>1903</v>
      </c>
      <c r="C201" s="14" t="s">
        <v>1324</v>
      </c>
      <c r="D201" s="14"/>
      <c r="E201" s="14" t="s">
        <v>2083</v>
      </c>
      <c r="F201" s="16" t="s">
        <v>2084</v>
      </c>
      <c r="G201" s="16"/>
      <c r="H201" s="14" t="n">
        <v>0</v>
      </c>
      <c r="I201" s="14" t="n">
        <v>1</v>
      </c>
      <c r="J201" s="14" t="s">
        <v>352</v>
      </c>
      <c r="K201" s="16"/>
      <c r="L201" s="16"/>
      <c r="M201" s="14"/>
      <c r="N201" s="13" t="s">
        <v>778</v>
      </c>
      <c r="O201" s="13" t="s">
        <v>1295</v>
      </c>
    </row>
    <row r="202" customFormat="false" ht="15" hidden="false" customHeight="false" outlineLevel="0" collapsed="false">
      <c r="A202" s="13" t="s">
        <v>2085</v>
      </c>
      <c r="B202" s="13" t="s">
        <v>1903</v>
      </c>
      <c r="C202" s="14" t="s">
        <v>1324</v>
      </c>
      <c r="D202" s="14"/>
      <c r="E202" s="14" t="s">
        <v>2086</v>
      </c>
      <c r="F202" s="16" t="s">
        <v>2087</v>
      </c>
      <c r="G202" s="16"/>
      <c r="H202" s="14" t="n">
        <v>0</v>
      </c>
      <c r="I202" s="14" t="n">
        <v>2</v>
      </c>
      <c r="J202" s="14" t="s">
        <v>396</v>
      </c>
      <c r="K202" s="16"/>
      <c r="L202" s="16"/>
      <c r="M202" s="14" t="s">
        <v>352</v>
      </c>
      <c r="N202" s="13" t="s">
        <v>778</v>
      </c>
      <c r="O202" s="13" t="s">
        <v>1295</v>
      </c>
    </row>
    <row r="203" customFormat="false" ht="15" hidden="false" customHeight="false" outlineLevel="0" collapsed="false">
      <c r="A203" s="13" t="s">
        <v>2088</v>
      </c>
      <c r="B203" s="13" t="s">
        <v>1903</v>
      </c>
      <c r="C203" s="14" t="s">
        <v>1324</v>
      </c>
      <c r="D203" s="14"/>
      <c r="E203" s="14" t="s">
        <v>2089</v>
      </c>
      <c r="F203" s="16" t="s">
        <v>2090</v>
      </c>
      <c r="G203" s="16"/>
      <c r="H203" s="14" t="n">
        <v>3</v>
      </c>
      <c r="I203" s="14"/>
      <c r="J203" s="14" t="s">
        <v>352</v>
      </c>
      <c r="K203" s="16"/>
      <c r="L203" s="16"/>
      <c r="M203" s="14"/>
      <c r="N203" s="13" t="s">
        <v>778</v>
      </c>
      <c r="O203" s="13" t="s">
        <v>1295</v>
      </c>
    </row>
    <row r="204" customFormat="false" ht="15" hidden="false" customHeight="false" outlineLevel="0" collapsed="false">
      <c r="A204" s="13" t="s">
        <v>2091</v>
      </c>
      <c r="B204" s="13" t="s">
        <v>1903</v>
      </c>
      <c r="C204" s="14" t="s">
        <v>1324</v>
      </c>
      <c r="D204" s="14"/>
      <c r="E204" s="14" t="s">
        <v>2092</v>
      </c>
      <c r="F204" s="16" t="s">
        <v>2093</v>
      </c>
      <c r="G204" s="16"/>
      <c r="H204" s="14" t="n">
        <v>35</v>
      </c>
      <c r="I204" s="14"/>
      <c r="J204" s="14" t="s">
        <v>352</v>
      </c>
      <c r="K204" s="16"/>
      <c r="L204" s="16"/>
      <c r="M204" s="14"/>
      <c r="N204" s="13" t="s">
        <v>778</v>
      </c>
      <c r="O204" s="13" t="s">
        <v>1295</v>
      </c>
    </row>
    <row r="205" customFormat="false" ht="15" hidden="false" customHeight="false" outlineLevel="0" collapsed="false">
      <c r="A205" s="13" t="s">
        <v>2094</v>
      </c>
      <c r="B205" s="13" t="s">
        <v>1903</v>
      </c>
      <c r="C205" s="14" t="s">
        <v>1324</v>
      </c>
      <c r="D205" s="14"/>
      <c r="E205" s="14" t="s">
        <v>2095</v>
      </c>
      <c r="F205" s="16" t="s">
        <v>2096</v>
      </c>
      <c r="G205" s="16"/>
      <c r="H205" s="14" t="n">
        <v>2</v>
      </c>
      <c r="I205" s="14"/>
      <c r="J205" s="14" t="s">
        <v>352</v>
      </c>
      <c r="K205" s="16"/>
      <c r="L205" s="16"/>
      <c r="M205" s="14"/>
      <c r="N205" s="13" t="s">
        <v>778</v>
      </c>
      <c r="O205" s="13" t="s">
        <v>1295</v>
      </c>
    </row>
    <row r="206" customFormat="false" ht="15" hidden="false" customHeight="false" outlineLevel="0" collapsed="false">
      <c r="A206" s="13" t="s">
        <v>2097</v>
      </c>
      <c r="B206" s="13" t="s">
        <v>1903</v>
      </c>
      <c r="C206" s="14" t="s">
        <v>1324</v>
      </c>
      <c r="D206" s="14"/>
      <c r="E206" s="14" t="s">
        <v>2098</v>
      </c>
      <c r="F206" s="16" t="s">
        <v>2099</v>
      </c>
      <c r="G206" s="16"/>
      <c r="H206" s="14" t="n">
        <v>6</v>
      </c>
      <c r="I206" s="14"/>
      <c r="J206" s="14" t="s">
        <v>396</v>
      </c>
      <c r="K206" s="16"/>
      <c r="L206" s="16"/>
      <c r="M206" s="14"/>
      <c r="N206" s="13" t="s">
        <v>778</v>
      </c>
      <c r="O206" s="13" t="s">
        <v>1295</v>
      </c>
    </row>
    <row r="207" customFormat="false" ht="15" hidden="false" customHeight="false" outlineLevel="0" collapsed="false">
      <c r="A207" s="13" t="s">
        <v>2100</v>
      </c>
      <c r="B207" s="13" t="s">
        <v>1903</v>
      </c>
      <c r="C207" s="14" t="s">
        <v>1289</v>
      </c>
      <c r="D207" s="14"/>
      <c r="E207" s="14" t="s">
        <v>2101</v>
      </c>
      <c r="F207" s="16" t="s">
        <v>2102</v>
      </c>
      <c r="G207" s="16"/>
      <c r="H207" s="14" t="n">
        <v>3</v>
      </c>
      <c r="I207" s="14"/>
      <c r="J207" s="14" t="s">
        <v>352</v>
      </c>
      <c r="K207" s="16"/>
      <c r="L207" s="16"/>
      <c r="M207" s="14"/>
      <c r="N207" s="13" t="s">
        <v>778</v>
      </c>
      <c r="O207" s="13" t="s">
        <v>1295</v>
      </c>
    </row>
    <row r="208" customFormat="false" ht="15" hidden="false" customHeight="false" outlineLevel="0" collapsed="false">
      <c r="A208" s="13" t="s">
        <v>2103</v>
      </c>
      <c r="B208" s="13" t="s">
        <v>1903</v>
      </c>
      <c r="C208" s="14" t="s">
        <v>1289</v>
      </c>
      <c r="D208" s="14"/>
      <c r="E208" s="14" t="s">
        <v>2104</v>
      </c>
      <c r="F208" s="16" t="s">
        <v>2105</v>
      </c>
      <c r="G208" s="16"/>
      <c r="H208" s="14" t="n">
        <v>13</v>
      </c>
      <c r="I208" s="14"/>
      <c r="J208" s="14" t="s">
        <v>352</v>
      </c>
      <c r="K208" s="16"/>
      <c r="L208" s="16"/>
      <c r="M208" s="14"/>
      <c r="N208" s="13" t="s">
        <v>778</v>
      </c>
      <c r="O208" s="13" t="s">
        <v>1295</v>
      </c>
    </row>
    <row r="209" customFormat="false" ht="15" hidden="false" customHeight="false" outlineLevel="0" collapsed="false">
      <c r="A209" s="13" t="s">
        <v>2106</v>
      </c>
      <c r="B209" s="13" t="s">
        <v>1903</v>
      </c>
      <c r="C209" s="14" t="s">
        <v>1289</v>
      </c>
      <c r="D209" s="14"/>
      <c r="E209" s="14" t="s">
        <v>2107</v>
      </c>
      <c r="F209" s="16" t="s">
        <v>1941</v>
      </c>
      <c r="G209" s="16"/>
      <c r="H209" s="14" t="n">
        <v>5</v>
      </c>
      <c r="I209" s="14"/>
      <c r="J209" s="14" t="s">
        <v>396</v>
      </c>
      <c r="K209" s="16"/>
      <c r="L209" s="16"/>
      <c r="M209" s="14" t="s">
        <v>352</v>
      </c>
      <c r="N209" s="13" t="s">
        <v>778</v>
      </c>
      <c r="O209" s="13" t="s">
        <v>1295</v>
      </c>
    </row>
    <row r="210" customFormat="false" ht="15" hidden="false" customHeight="false" outlineLevel="0" collapsed="false">
      <c r="A210" s="13" t="s">
        <v>2108</v>
      </c>
      <c r="B210" s="13" t="s">
        <v>1903</v>
      </c>
      <c r="C210" s="14" t="s">
        <v>1289</v>
      </c>
      <c r="D210" s="14"/>
      <c r="E210" s="14" t="s">
        <v>2109</v>
      </c>
      <c r="F210" s="16" t="s">
        <v>2110</v>
      </c>
      <c r="G210" s="16"/>
      <c r="H210" s="14" t="n">
        <v>0</v>
      </c>
      <c r="I210" s="14" t="n">
        <v>2</v>
      </c>
      <c r="J210" s="14" t="s">
        <v>352</v>
      </c>
      <c r="K210" s="16"/>
      <c r="L210" s="16"/>
      <c r="M210" s="14"/>
      <c r="N210" s="13" t="s">
        <v>778</v>
      </c>
      <c r="O210" s="13" t="s">
        <v>1295</v>
      </c>
    </row>
    <row r="211" customFormat="false" ht="15" hidden="false" customHeight="false" outlineLevel="0" collapsed="false">
      <c r="A211" s="13" t="s">
        <v>2111</v>
      </c>
      <c r="B211" s="13" t="s">
        <v>1903</v>
      </c>
      <c r="C211" s="14" t="s">
        <v>1289</v>
      </c>
      <c r="D211" s="14"/>
      <c r="E211" s="14" t="s">
        <v>2112</v>
      </c>
      <c r="F211" s="16" t="s">
        <v>2113</v>
      </c>
      <c r="G211" s="16"/>
      <c r="H211" s="14" t="n">
        <v>10</v>
      </c>
      <c r="I211" s="14"/>
      <c r="J211" s="14" t="s">
        <v>352</v>
      </c>
      <c r="K211" s="16"/>
      <c r="L211" s="16"/>
      <c r="M211" s="14"/>
      <c r="N211" s="13" t="s">
        <v>778</v>
      </c>
      <c r="O211" s="13" t="s">
        <v>1295</v>
      </c>
    </row>
    <row r="212" customFormat="false" ht="15" hidden="false" customHeight="false" outlineLevel="0" collapsed="false">
      <c r="A212" s="13" t="s">
        <v>2114</v>
      </c>
      <c r="B212" s="13" t="s">
        <v>1903</v>
      </c>
      <c r="C212" s="14" t="s">
        <v>1289</v>
      </c>
      <c r="D212" s="14"/>
      <c r="E212" s="14" t="s">
        <v>2115</v>
      </c>
      <c r="F212" s="16" t="s">
        <v>2116</v>
      </c>
      <c r="G212" s="16"/>
      <c r="H212" s="14" t="n">
        <v>18</v>
      </c>
      <c r="I212" s="14"/>
      <c r="J212" s="14" t="s">
        <v>352</v>
      </c>
      <c r="K212" s="16"/>
      <c r="L212" s="16"/>
      <c r="M212" s="14"/>
      <c r="N212" s="13" t="s">
        <v>778</v>
      </c>
      <c r="O212" s="13" t="s">
        <v>1295</v>
      </c>
    </row>
    <row r="213" customFormat="false" ht="15" hidden="false" customHeight="false" outlineLevel="0" collapsed="false">
      <c r="A213" s="13" t="s">
        <v>2117</v>
      </c>
      <c r="B213" s="13" t="s">
        <v>1903</v>
      </c>
      <c r="C213" s="14" t="s">
        <v>1289</v>
      </c>
      <c r="D213" s="14"/>
      <c r="E213" s="14" t="s">
        <v>2118</v>
      </c>
      <c r="F213" s="16" t="s">
        <v>2119</v>
      </c>
      <c r="G213" s="16"/>
      <c r="H213" s="14" t="n">
        <v>6</v>
      </c>
      <c r="I213" s="14"/>
      <c r="J213" s="14" t="s">
        <v>352</v>
      </c>
      <c r="K213" s="16"/>
      <c r="L213" s="16"/>
      <c r="M213" s="14"/>
      <c r="N213" s="13" t="s">
        <v>778</v>
      </c>
      <c r="O213" s="13" t="s">
        <v>1295</v>
      </c>
    </row>
    <row r="214" customFormat="false" ht="15" hidden="false" customHeight="false" outlineLevel="0" collapsed="false">
      <c r="A214" s="13" t="s">
        <v>2120</v>
      </c>
      <c r="B214" s="13" t="s">
        <v>1903</v>
      </c>
      <c r="C214" s="14" t="s">
        <v>1289</v>
      </c>
      <c r="D214" s="14"/>
      <c r="E214" s="14" t="s">
        <v>2121</v>
      </c>
      <c r="F214" s="16" t="s">
        <v>2122</v>
      </c>
      <c r="G214" s="16"/>
      <c r="H214" s="14" t="n">
        <v>4</v>
      </c>
      <c r="I214" s="14"/>
      <c r="J214" s="14" t="s">
        <v>352</v>
      </c>
      <c r="K214" s="16"/>
      <c r="L214" s="16"/>
      <c r="M214" s="14" t="s">
        <v>352</v>
      </c>
      <c r="N214" s="13" t="s">
        <v>778</v>
      </c>
      <c r="O214" s="13" t="s">
        <v>1295</v>
      </c>
    </row>
    <row r="215" customFormat="false" ht="15" hidden="false" customHeight="false" outlineLevel="0" collapsed="false">
      <c r="A215" s="13" t="s">
        <v>2123</v>
      </c>
      <c r="B215" s="13" t="s">
        <v>1903</v>
      </c>
      <c r="C215" s="14" t="s">
        <v>1289</v>
      </c>
      <c r="D215" s="14"/>
      <c r="E215" s="14" t="s">
        <v>2124</v>
      </c>
      <c r="F215" s="16" t="s">
        <v>2125</v>
      </c>
      <c r="G215" s="16"/>
      <c r="H215" s="14" t="n">
        <v>20</v>
      </c>
      <c r="I215" s="14"/>
      <c r="J215" s="14" t="s">
        <v>352</v>
      </c>
      <c r="K215" s="16"/>
      <c r="L215" s="16"/>
      <c r="M215" s="14"/>
      <c r="N215" s="13" t="s">
        <v>778</v>
      </c>
      <c r="O215" s="13" t="s">
        <v>1295</v>
      </c>
    </row>
    <row r="216" customFormat="false" ht="15" hidden="false" customHeight="false" outlineLevel="0" collapsed="false">
      <c r="A216" s="13" t="s">
        <v>2126</v>
      </c>
      <c r="B216" s="13" t="s">
        <v>1903</v>
      </c>
      <c r="C216" s="14" t="s">
        <v>1289</v>
      </c>
      <c r="D216" s="14"/>
      <c r="E216" s="14" t="s">
        <v>2127</v>
      </c>
      <c r="F216" s="16" t="s">
        <v>2128</v>
      </c>
      <c r="G216" s="16"/>
      <c r="H216" s="14" t="n">
        <v>8</v>
      </c>
      <c r="I216" s="14"/>
      <c r="J216" s="14" t="s">
        <v>352</v>
      </c>
      <c r="K216" s="16"/>
      <c r="L216" s="16"/>
      <c r="M216" s="14"/>
      <c r="N216" s="13" t="s">
        <v>778</v>
      </c>
      <c r="O216" s="13" t="s">
        <v>1295</v>
      </c>
    </row>
    <row r="217" customFormat="false" ht="15" hidden="false" customHeight="false" outlineLevel="0" collapsed="false">
      <c r="A217" s="13" t="s">
        <v>2129</v>
      </c>
      <c r="B217" s="13" t="s">
        <v>1903</v>
      </c>
      <c r="C217" s="14" t="s">
        <v>1289</v>
      </c>
      <c r="D217" s="14"/>
      <c r="E217" s="14" t="s">
        <v>2130</v>
      </c>
      <c r="F217" s="16" t="s">
        <v>2131</v>
      </c>
      <c r="G217" s="16"/>
      <c r="H217" s="14" t="n">
        <v>4</v>
      </c>
      <c r="I217" s="14" t="n">
        <v>2</v>
      </c>
      <c r="J217" s="14" t="s">
        <v>396</v>
      </c>
      <c r="K217" s="16"/>
      <c r="L217" s="16"/>
      <c r="M217" s="14"/>
      <c r="N217" s="13" t="s">
        <v>778</v>
      </c>
      <c r="O217" s="13" t="s">
        <v>1295</v>
      </c>
    </row>
    <row r="218" customFormat="false" ht="15" hidden="false" customHeight="false" outlineLevel="0" collapsed="false">
      <c r="A218" s="13" t="s">
        <v>2132</v>
      </c>
      <c r="B218" s="13" t="s">
        <v>1903</v>
      </c>
      <c r="C218" s="14" t="s">
        <v>1289</v>
      </c>
      <c r="D218" s="14"/>
      <c r="E218" s="14" t="s">
        <v>2133</v>
      </c>
      <c r="F218" s="16" t="s">
        <v>2134</v>
      </c>
      <c r="G218" s="16"/>
      <c r="H218" s="14" t="n">
        <v>7</v>
      </c>
      <c r="I218" s="14"/>
      <c r="J218" s="14" t="s">
        <v>396</v>
      </c>
      <c r="K218" s="16"/>
      <c r="L218" s="16"/>
      <c r="M218" s="14" t="s">
        <v>352</v>
      </c>
      <c r="N218" s="13" t="s">
        <v>778</v>
      </c>
      <c r="O218" s="13" t="s">
        <v>1295</v>
      </c>
    </row>
    <row r="219" customFormat="false" ht="15" hidden="false" customHeight="false" outlineLevel="0" collapsed="false">
      <c r="A219" s="13" t="s">
        <v>2135</v>
      </c>
      <c r="B219" s="13" t="s">
        <v>1903</v>
      </c>
      <c r="C219" s="14" t="s">
        <v>1289</v>
      </c>
      <c r="D219" s="14"/>
      <c r="E219" s="14" t="s">
        <v>2136</v>
      </c>
      <c r="F219" s="16" t="s">
        <v>2137</v>
      </c>
      <c r="G219" s="16"/>
      <c r="H219" s="14" t="n">
        <v>5</v>
      </c>
      <c r="I219" s="14"/>
      <c r="J219" s="14" t="s">
        <v>352</v>
      </c>
      <c r="K219" s="16"/>
      <c r="L219" s="16"/>
      <c r="M219" s="14"/>
      <c r="N219" s="13" t="s">
        <v>778</v>
      </c>
      <c r="O219" s="13" t="s">
        <v>1295</v>
      </c>
    </row>
    <row r="220" customFormat="false" ht="15" hidden="false" customHeight="false" outlineLevel="0" collapsed="false">
      <c r="A220" s="13" t="s">
        <v>2138</v>
      </c>
      <c r="B220" s="13" t="s">
        <v>1903</v>
      </c>
      <c r="C220" s="14" t="s">
        <v>1289</v>
      </c>
      <c r="D220" s="14"/>
      <c r="E220" s="14" t="s">
        <v>2139</v>
      </c>
      <c r="F220" s="16" t="s">
        <v>2140</v>
      </c>
      <c r="G220" s="16"/>
      <c r="H220" s="14" t="n">
        <v>9</v>
      </c>
      <c r="I220" s="14"/>
      <c r="J220" s="14" t="s">
        <v>352</v>
      </c>
      <c r="K220" s="16"/>
      <c r="L220" s="16"/>
      <c r="M220" s="14" t="s">
        <v>352</v>
      </c>
      <c r="N220" s="13" t="s">
        <v>778</v>
      </c>
      <c r="O220" s="13" t="s">
        <v>1295</v>
      </c>
    </row>
    <row r="221" customFormat="false" ht="15" hidden="false" customHeight="false" outlineLevel="0" collapsed="false">
      <c r="A221" s="13" t="s">
        <v>2141</v>
      </c>
      <c r="B221" s="13" t="s">
        <v>1903</v>
      </c>
      <c r="C221" s="14" t="s">
        <v>1289</v>
      </c>
      <c r="D221" s="14"/>
      <c r="E221" s="14" t="s">
        <v>2142</v>
      </c>
      <c r="F221" s="16" t="s">
        <v>2143</v>
      </c>
      <c r="G221" s="16"/>
      <c r="H221" s="14" t="n">
        <v>0</v>
      </c>
      <c r="I221" s="14" t="n">
        <v>1</v>
      </c>
      <c r="J221" s="14" t="s">
        <v>352</v>
      </c>
      <c r="K221" s="16"/>
      <c r="L221" s="16"/>
      <c r="M221" s="14"/>
      <c r="N221" s="13" t="s">
        <v>778</v>
      </c>
      <c r="O221" s="13" t="s">
        <v>1295</v>
      </c>
    </row>
    <row r="222" customFormat="false" ht="15" hidden="false" customHeight="false" outlineLevel="0" collapsed="false">
      <c r="A222" s="13" t="s">
        <v>2144</v>
      </c>
      <c r="B222" s="13" t="s">
        <v>1903</v>
      </c>
      <c r="C222" s="14" t="s">
        <v>1289</v>
      </c>
      <c r="D222" s="14"/>
      <c r="E222" s="14" t="s">
        <v>2145</v>
      </c>
      <c r="F222" s="16" t="s">
        <v>2146</v>
      </c>
      <c r="G222" s="16"/>
      <c r="H222" s="14" t="n">
        <v>15</v>
      </c>
      <c r="I222" s="14"/>
      <c r="J222" s="14" t="s">
        <v>352</v>
      </c>
      <c r="K222" s="16"/>
      <c r="L222" s="16"/>
      <c r="M222" s="14"/>
      <c r="N222" s="13" t="s">
        <v>778</v>
      </c>
      <c r="O222" s="13" t="s">
        <v>1295</v>
      </c>
    </row>
    <row r="223" customFormat="false" ht="15" hidden="false" customHeight="false" outlineLevel="0" collapsed="false">
      <c r="A223" s="13" t="s">
        <v>2147</v>
      </c>
      <c r="B223" s="13" t="s">
        <v>1903</v>
      </c>
      <c r="C223" s="14" t="s">
        <v>1289</v>
      </c>
      <c r="D223" s="14"/>
      <c r="E223" s="14" t="s">
        <v>2148</v>
      </c>
      <c r="F223" s="16" t="s">
        <v>2149</v>
      </c>
      <c r="G223" s="16"/>
      <c r="H223" s="14" t="n">
        <v>4</v>
      </c>
      <c r="I223" s="14"/>
      <c r="J223" s="14" t="s">
        <v>396</v>
      </c>
      <c r="K223" s="16"/>
      <c r="L223" s="16"/>
      <c r="M223" s="14" t="s">
        <v>352</v>
      </c>
      <c r="N223" s="13" t="s">
        <v>778</v>
      </c>
      <c r="O223" s="13" t="s">
        <v>1295</v>
      </c>
    </row>
    <row r="224" customFormat="false" ht="15" hidden="false" customHeight="false" outlineLevel="0" collapsed="false">
      <c r="A224" s="13" t="s">
        <v>2150</v>
      </c>
      <c r="B224" s="13" t="s">
        <v>1903</v>
      </c>
      <c r="C224" s="14" t="s">
        <v>1289</v>
      </c>
      <c r="D224" s="14"/>
      <c r="E224" s="14" t="s">
        <v>2151</v>
      </c>
      <c r="F224" s="16" t="s">
        <v>2152</v>
      </c>
      <c r="G224" s="16"/>
      <c r="H224" s="14" t="n">
        <v>6</v>
      </c>
      <c r="I224" s="14"/>
      <c r="J224" s="14" t="s">
        <v>352</v>
      </c>
      <c r="K224" s="16"/>
      <c r="L224" s="16"/>
      <c r="M224" s="14"/>
      <c r="N224" s="13" t="s">
        <v>778</v>
      </c>
      <c r="O224" s="13" t="s">
        <v>1295</v>
      </c>
    </row>
    <row r="225" customFormat="false" ht="15" hidden="false" customHeight="false" outlineLevel="0" collapsed="false">
      <c r="A225" s="13" t="s">
        <v>2153</v>
      </c>
      <c r="B225" s="13" t="s">
        <v>1903</v>
      </c>
      <c r="C225" s="14" t="s">
        <v>847</v>
      </c>
      <c r="D225" s="14"/>
      <c r="E225" s="14" t="s">
        <v>2154</v>
      </c>
      <c r="F225" s="16" t="s">
        <v>2155</v>
      </c>
      <c r="G225" s="16"/>
      <c r="H225" s="14" t="n">
        <v>9</v>
      </c>
      <c r="I225" s="14"/>
      <c r="J225" s="14" t="s">
        <v>396</v>
      </c>
      <c r="K225" s="16"/>
      <c r="L225" s="16"/>
      <c r="M225" s="14"/>
      <c r="N225" s="13" t="s">
        <v>778</v>
      </c>
      <c r="O225" s="13" t="s">
        <v>1295</v>
      </c>
    </row>
    <row r="226" customFormat="false" ht="15" hidden="false" customHeight="false" outlineLevel="0" collapsed="false">
      <c r="A226" s="13" t="s">
        <v>2156</v>
      </c>
      <c r="B226" s="13" t="s">
        <v>1903</v>
      </c>
      <c r="C226" s="14" t="s">
        <v>847</v>
      </c>
      <c r="D226" s="14"/>
      <c r="E226" s="14" t="s">
        <v>2157</v>
      </c>
      <c r="F226" s="16" t="s">
        <v>2158</v>
      </c>
      <c r="G226" s="16"/>
      <c r="H226" s="14" t="n">
        <v>12</v>
      </c>
      <c r="I226" s="14"/>
      <c r="J226" s="14" t="s">
        <v>396</v>
      </c>
      <c r="K226" s="16"/>
      <c r="L226" s="16"/>
      <c r="M226" s="14"/>
      <c r="N226" s="13" t="s">
        <v>778</v>
      </c>
      <c r="O226" s="13" t="s">
        <v>1295</v>
      </c>
    </row>
    <row r="227" customFormat="false" ht="15" hidden="false" customHeight="false" outlineLevel="0" collapsed="false">
      <c r="A227" s="13" t="s">
        <v>2159</v>
      </c>
      <c r="B227" s="13" t="s">
        <v>1903</v>
      </c>
      <c r="C227" s="14" t="s">
        <v>847</v>
      </c>
      <c r="D227" s="14"/>
      <c r="E227" s="14" t="s">
        <v>2160</v>
      </c>
      <c r="F227" s="16" t="s">
        <v>2161</v>
      </c>
      <c r="G227" s="16"/>
      <c r="H227" s="14" t="n">
        <v>10</v>
      </c>
      <c r="I227" s="14"/>
      <c r="J227" s="14" t="s">
        <v>396</v>
      </c>
      <c r="K227" s="16"/>
      <c r="L227" s="16"/>
      <c r="M227" s="14"/>
      <c r="N227" s="13" t="s">
        <v>778</v>
      </c>
      <c r="O227" s="13" t="s">
        <v>1295</v>
      </c>
    </row>
    <row r="228" customFormat="false" ht="15" hidden="false" customHeight="false" outlineLevel="0" collapsed="false">
      <c r="A228" s="13" t="s">
        <v>2162</v>
      </c>
      <c r="B228" s="13" t="s">
        <v>1903</v>
      </c>
      <c r="C228" s="14" t="s">
        <v>847</v>
      </c>
      <c r="D228" s="14"/>
      <c r="E228" s="14" t="s">
        <v>2163</v>
      </c>
      <c r="F228" s="16" t="s">
        <v>2164</v>
      </c>
      <c r="G228" s="16"/>
      <c r="H228" s="14" t="n">
        <v>8</v>
      </c>
      <c r="I228" s="14"/>
      <c r="J228" s="14" t="s">
        <v>396</v>
      </c>
      <c r="K228" s="16"/>
      <c r="L228" s="16"/>
      <c r="M228" s="14"/>
      <c r="N228" s="13" t="s">
        <v>778</v>
      </c>
      <c r="O228" s="13" t="s">
        <v>1295</v>
      </c>
    </row>
    <row r="229" customFormat="false" ht="15" hidden="false" customHeight="false" outlineLevel="0" collapsed="false">
      <c r="A229" s="13" t="s">
        <v>2165</v>
      </c>
      <c r="B229" s="13" t="s">
        <v>1903</v>
      </c>
      <c r="C229" s="14" t="s">
        <v>847</v>
      </c>
      <c r="D229" s="14"/>
      <c r="E229" s="14" t="s">
        <v>2166</v>
      </c>
      <c r="F229" s="16" t="s">
        <v>2167</v>
      </c>
      <c r="G229" s="16"/>
      <c r="H229" s="14" t="n">
        <v>15</v>
      </c>
      <c r="I229" s="14"/>
      <c r="J229" s="14" t="s">
        <v>396</v>
      </c>
      <c r="K229" s="16"/>
      <c r="L229" s="16"/>
      <c r="M229" s="14"/>
      <c r="N229" s="13" t="s">
        <v>778</v>
      </c>
      <c r="O229" s="13" t="s">
        <v>1295</v>
      </c>
    </row>
    <row r="230" customFormat="false" ht="15" hidden="false" customHeight="false" outlineLevel="0" collapsed="false">
      <c r="A230" s="13" t="s">
        <v>2168</v>
      </c>
      <c r="B230" s="13" t="s">
        <v>1903</v>
      </c>
      <c r="C230" s="14" t="s">
        <v>847</v>
      </c>
      <c r="D230" s="14"/>
      <c r="E230" s="14" t="s">
        <v>2169</v>
      </c>
      <c r="F230" s="16" t="s">
        <v>2170</v>
      </c>
      <c r="G230" s="16"/>
      <c r="H230" s="14" t="n">
        <v>6</v>
      </c>
      <c r="I230" s="14"/>
      <c r="J230" s="14" t="s">
        <v>352</v>
      </c>
      <c r="K230" s="16"/>
      <c r="L230" s="16"/>
      <c r="M230" s="14"/>
      <c r="N230" s="13" t="s">
        <v>778</v>
      </c>
      <c r="O230" s="13" t="s">
        <v>1295</v>
      </c>
    </row>
    <row r="231" customFormat="false" ht="15" hidden="false" customHeight="false" outlineLevel="0" collapsed="false">
      <c r="A231" s="13" t="s">
        <v>2171</v>
      </c>
      <c r="B231" s="13" t="s">
        <v>1903</v>
      </c>
      <c r="C231" s="14" t="s">
        <v>847</v>
      </c>
      <c r="D231" s="14"/>
      <c r="E231" s="14" t="s">
        <v>2172</v>
      </c>
      <c r="F231" s="16" t="s">
        <v>2173</v>
      </c>
      <c r="G231" s="16"/>
      <c r="H231" s="14" t="n">
        <v>5</v>
      </c>
      <c r="I231" s="14" t="n">
        <v>2</v>
      </c>
      <c r="J231" s="14" t="s">
        <v>396</v>
      </c>
      <c r="K231" s="16"/>
      <c r="L231" s="16"/>
      <c r="M231" s="14"/>
      <c r="N231" s="13" t="s">
        <v>778</v>
      </c>
      <c r="O231" s="13" t="s">
        <v>1295</v>
      </c>
    </row>
    <row r="232" customFormat="false" ht="15" hidden="false" customHeight="false" outlineLevel="0" collapsed="false">
      <c r="A232" s="13" t="s">
        <v>2174</v>
      </c>
      <c r="B232" s="13" t="s">
        <v>1903</v>
      </c>
      <c r="C232" s="14" t="s">
        <v>847</v>
      </c>
      <c r="D232" s="14"/>
      <c r="E232" s="14" t="s">
        <v>2175</v>
      </c>
      <c r="F232" s="16" t="s">
        <v>2176</v>
      </c>
      <c r="G232" s="16"/>
      <c r="H232" s="14" t="n">
        <v>11</v>
      </c>
      <c r="I232" s="14"/>
      <c r="J232" s="14" t="s">
        <v>396</v>
      </c>
      <c r="K232" s="16"/>
      <c r="L232" s="16"/>
      <c r="M232" s="14"/>
      <c r="N232" s="13" t="s">
        <v>778</v>
      </c>
      <c r="O232" s="13" t="s">
        <v>1295</v>
      </c>
    </row>
    <row r="233" customFormat="false" ht="15" hidden="false" customHeight="false" outlineLevel="0" collapsed="false">
      <c r="A233" s="13" t="s">
        <v>2177</v>
      </c>
      <c r="B233" s="13" t="s">
        <v>1903</v>
      </c>
      <c r="C233" s="14" t="s">
        <v>847</v>
      </c>
      <c r="D233" s="14"/>
      <c r="E233" s="14" t="s">
        <v>2178</v>
      </c>
      <c r="F233" s="16" t="s">
        <v>2179</v>
      </c>
      <c r="G233" s="16"/>
      <c r="H233" s="14" t="n">
        <v>7</v>
      </c>
      <c r="I233" s="14"/>
      <c r="J233" s="14" t="s">
        <v>396</v>
      </c>
      <c r="K233" s="16"/>
      <c r="L233" s="16"/>
      <c r="M233" s="14"/>
      <c r="N233" s="13" t="s">
        <v>778</v>
      </c>
      <c r="O233" s="13" t="s">
        <v>1295</v>
      </c>
    </row>
    <row r="234" customFormat="false" ht="15" hidden="false" customHeight="false" outlineLevel="0" collapsed="false">
      <c r="A234" s="13" t="s">
        <v>2180</v>
      </c>
      <c r="B234" s="13" t="s">
        <v>1903</v>
      </c>
      <c r="C234" s="14" t="s">
        <v>847</v>
      </c>
      <c r="D234" s="14"/>
      <c r="E234" s="14" t="s">
        <v>2181</v>
      </c>
      <c r="F234" s="16" t="s">
        <v>2182</v>
      </c>
      <c r="G234" s="16"/>
      <c r="H234" s="14" t="n">
        <v>13</v>
      </c>
      <c r="I234" s="14"/>
      <c r="J234" s="14" t="s">
        <v>352</v>
      </c>
      <c r="K234" s="16"/>
      <c r="L234" s="16"/>
      <c r="M234" s="14"/>
      <c r="N234" s="13" t="s">
        <v>778</v>
      </c>
      <c r="O234" s="13" t="s">
        <v>1295</v>
      </c>
    </row>
    <row r="235" customFormat="false" ht="15" hidden="false" customHeight="false" outlineLevel="0" collapsed="false">
      <c r="A235" s="13" t="s">
        <v>2183</v>
      </c>
      <c r="B235" s="13" t="s">
        <v>1903</v>
      </c>
      <c r="C235" s="14" t="s">
        <v>847</v>
      </c>
      <c r="D235" s="14"/>
      <c r="E235" s="14" t="s">
        <v>2184</v>
      </c>
      <c r="F235" s="16" t="s">
        <v>2185</v>
      </c>
      <c r="G235" s="16"/>
      <c r="H235" s="14" t="n">
        <v>0</v>
      </c>
      <c r="I235" s="14" t="n">
        <v>1</v>
      </c>
      <c r="J235" s="14" t="s">
        <v>396</v>
      </c>
      <c r="K235" s="16"/>
      <c r="L235" s="16"/>
      <c r="M235" s="14"/>
      <c r="N235" s="13" t="s">
        <v>778</v>
      </c>
      <c r="O235" s="13" t="s">
        <v>1295</v>
      </c>
    </row>
    <row r="236" customFormat="false" ht="15" hidden="false" customHeight="false" outlineLevel="0" collapsed="false">
      <c r="A236" s="13" t="s">
        <v>2186</v>
      </c>
      <c r="B236" s="13" t="s">
        <v>1903</v>
      </c>
      <c r="C236" s="14" t="s">
        <v>847</v>
      </c>
      <c r="D236" s="14"/>
      <c r="E236" s="14" t="s">
        <v>2187</v>
      </c>
      <c r="F236" s="16" t="s">
        <v>2188</v>
      </c>
      <c r="G236" s="16"/>
      <c r="H236" s="14" t="n">
        <v>8</v>
      </c>
      <c r="I236" s="14"/>
      <c r="J236" s="14" t="s">
        <v>396</v>
      </c>
      <c r="K236" s="16"/>
      <c r="L236" s="16"/>
      <c r="M236" s="14"/>
      <c r="N236" s="13" t="s">
        <v>778</v>
      </c>
      <c r="O236" s="13" t="s">
        <v>1295</v>
      </c>
    </row>
    <row r="237" customFormat="false" ht="15" hidden="false" customHeight="false" outlineLevel="0" collapsed="false">
      <c r="A237" s="13" t="s">
        <v>2189</v>
      </c>
      <c r="B237" s="13" t="s">
        <v>1903</v>
      </c>
      <c r="C237" s="14" t="s">
        <v>847</v>
      </c>
      <c r="D237" s="14"/>
      <c r="E237" s="14" t="s">
        <v>2190</v>
      </c>
      <c r="F237" s="16" t="s">
        <v>2191</v>
      </c>
      <c r="G237" s="16"/>
      <c r="H237" s="14" t="n">
        <v>0</v>
      </c>
      <c r="I237" s="14" t="n">
        <v>2</v>
      </c>
      <c r="J237" s="14" t="s">
        <v>396</v>
      </c>
      <c r="K237" s="16"/>
      <c r="L237" s="16"/>
      <c r="M237" s="14"/>
      <c r="N237" s="13" t="s">
        <v>778</v>
      </c>
      <c r="O237" s="13" t="s">
        <v>1295</v>
      </c>
    </row>
    <row r="238" customFormat="false" ht="15" hidden="false" customHeight="false" outlineLevel="0" collapsed="false">
      <c r="A238" s="13" t="s">
        <v>2192</v>
      </c>
      <c r="B238" s="13" t="s">
        <v>1903</v>
      </c>
      <c r="C238" s="14" t="s">
        <v>847</v>
      </c>
      <c r="D238" s="14"/>
      <c r="E238" s="14" t="s">
        <v>2193</v>
      </c>
      <c r="F238" s="16" t="s">
        <v>2194</v>
      </c>
      <c r="G238" s="16"/>
      <c r="H238" s="14" t="n">
        <v>0</v>
      </c>
      <c r="I238" s="14" t="n">
        <v>3</v>
      </c>
      <c r="J238" s="14" t="s">
        <v>396</v>
      </c>
      <c r="K238" s="16"/>
      <c r="L238" s="16"/>
      <c r="M238" s="14"/>
      <c r="N238" s="13" t="s">
        <v>778</v>
      </c>
      <c r="O238" s="13" t="s">
        <v>1295</v>
      </c>
    </row>
    <row r="239" customFormat="false" ht="15" hidden="false" customHeight="false" outlineLevel="0" collapsed="false">
      <c r="A239" s="13" t="s">
        <v>2195</v>
      </c>
      <c r="B239" s="13" t="s">
        <v>1903</v>
      </c>
      <c r="C239" s="14" t="s">
        <v>1310</v>
      </c>
      <c r="D239" s="14"/>
      <c r="E239" s="14" t="s">
        <v>2196</v>
      </c>
      <c r="F239" s="16" t="s">
        <v>2197</v>
      </c>
      <c r="G239" s="16"/>
      <c r="H239" s="14" t="n">
        <v>5</v>
      </c>
      <c r="I239" s="14"/>
      <c r="J239" s="14" t="s">
        <v>352</v>
      </c>
      <c r="K239" s="16"/>
      <c r="L239" s="16"/>
      <c r="M239" s="14"/>
      <c r="N239" s="13" t="s">
        <v>778</v>
      </c>
      <c r="O239" s="13" t="s">
        <v>1295</v>
      </c>
    </row>
    <row r="240" customFormat="false" ht="15" hidden="false" customHeight="false" outlineLevel="0" collapsed="false">
      <c r="A240" s="13" t="s">
        <v>2198</v>
      </c>
      <c r="B240" s="13" t="s">
        <v>1903</v>
      </c>
      <c r="C240" s="14" t="s">
        <v>1310</v>
      </c>
      <c r="D240" s="14"/>
      <c r="E240" s="14" t="s">
        <v>2199</v>
      </c>
      <c r="F240" s="16" t="s">
        <v>2200</v>
      </c>
      <c r="G240" s="16"/>
      <c r="H240" s="14" t="n">
        <v>3</v>
      </c>
      <c r="I240" s="14"/>
      <c r="J240" s="14" t="s">
        <v>352</v>
      </c>
      <c r="K240" s="16"/>
      <c r="L240" s="16"/>
      <c r="M240" s="14"/>
      <c r="N240" s="13" t="s">
        <v>778</v>
      </c>
      <c r="O240" s="13" t="s">
        <v>1295</v>
      </c>
    </row>
    <row r="241" customFormat="false" ht="15" hidden="false" customHeight="false" outlineLevel="0" collapsed="false">
      <c r="A241" s="13" t="s">
        <v>2201</v>
      </c>
      <c r="B241" s="13" t="s">
        <v>1903</v>
      </c>
      <c r="C241" s="14" t="s">
        <v>1310</v>
      </c>
      <c r="D241" s="14"/>
      <c r="E241" s="14" t="s">
        <v>2202</v>
      </c>
      <c r="F241" s="16" t="s">
        <v>2203</v>
      </c>
      <c r="G241" s="16"/>
      <c r="H241" s="14" t="n">
        <v>4</v>
      </c>
      <c r="I241" s="14"/>
      <c r="J241" s="14" t="s">
        <v>352</v>
      </c>
      <c r="K241" s="16"/>
      <c r="L241" s="16"/>
      <c r="M241" s="14"/>
      <c r="N241" s="13" t="s">
        <v>778</v>
      </c>
      <c r="O241" s="13" t="s">
        <v>1295</v>
      </c>
    </row>
    <row r="242" customFormat="false" ht="15" hidden="false" customHeight="false" outlineLevel="0" collapsed="false">
      <c r="A242" s="13" t="s">
        <v>2204</v>
      </c>
      <c r="B242" s="13" t="s">
        <v>1903</v>
      </c>
      <c r="C242" s="14" t="s">
        <v>1310</v>
      </c>
      <c r="D242" s="14"/>
      <c r="E242" s="14" t="s">
        <v>2205</v>
      </c>
      <c r="F242" s="16" t="s">
        <v>2206</v>
      </c>
      <c r="G242" s="16"/>
      <c r="H242" s="14" t="n">
        <v>4</v>
      </c>
      <c r="I242" s="14"/>
      <c r="J242" s="14" t="s">
        <v>352</v>
      </c>
      <c r="K242" s="16"/>
      <c r="L242" s="16"/>
      <c r="M242" s="14"/>
      <c r="N242" s="13" t="s">
        <v>778</v>
      </c>
      <c r="O242" s="13" t="s">
        <v>1295</v>
      </c>
    </row>
    <row r="243" customFormat="false" ht="15" hidden="false" customHeight="false" outlineLevel="0" collapsed="false">
      <c r="A243" s="13" t="s">
        <v>2207</v>
      </c>
      <c r="B243" s="13" t="s">
        <v>1903</v>
      </c>
      <c r="C243" s="14" t="s">
        <v>1310</v>
      </c>
      <c r="D243" s="14"/>
      <c r="E243" s="14" t="s">
        <v>2208</v>
      </c>
      <c r="F243" s="16" t="s">
        <v>2209</v>
      </c>
      <c r="G243" s="16"/>
      <c r="H243" s="14" t="n">
        <v>0</v>
      </c>
      <c r="I243" s="14" t="n">
        <v>2</v>
      </c>
      <c r="J243" s="14" t="s">
        <v>352</v>
      </c>
      <c r="K243" s="16"/>
      <c r="L243" s="16"/>
      <c r="M243" s="14" t="s">
        <v>352</v>
      </c>
      <c r="N243" s="13" t="s">
        <v>778</v>
      </c>
      <c r="O243" s="13" t="s">
        <v>1295</v>
      </c>
    </row>
    <row r="244" customFormat="false" ht="15" hidden="false" customHeight="false" outlineLevel="0" collapsed="false">
      <c r="A244" s="13" t="s">
        <v>2210</v>
      </c>
      <c r="B244" s="13" t="s">
        <v>1903</v>
      </c>
      <c r="C244" s="14" t="s">
        <v>1310</v>
      </c>
      <c r="D244" s="14"/>
      <c r="E244" s="14" t="s">
        <v>2211</v>
      </c>
      <c r="F244" s="16" t="s">
        <v>2212</v>
      </c>
      <c r="G244" s="16"/>
      <c r="H244" s="14" t="n">
        <v>6</v>
      </c>
      <c r="I244" s="14"/>
      <c r="J244" s="14" t="s">
        <v>352</v>
      </c>
      <c r="K244" s="16"/>
      <c r="L244" s="16"/>
      <c r="M244" s="14"/>
      <c r="N244" s="13" t="s">
        <v>778</v>
      </c>
      <c r="O244" s="13" t="s">
        <v>1295</v>
      </c>
    </row>
    <row r="245" customFormat="false" ht="15" hidden="false" customHeight="false" outlineLevel="0" collapsed="false">
      <c r="A245" s="13" t="s">
        <v>2213</v>
      </c>
      <c r="B245" s="13" t="s">
        <v>1903</v>
      </c>
      <c r="C245" s="14" t="s">
        <v>1310</v>
      </c>
      <c r="D245" s="14"/>
      <c r="E245" s="14" t="s">
        <v>2214</v>
      </c>
      <c r="F245" s="16" t="s">
        <v>2215</v>
      </c>
      <c r="G245" s="16"/>
      <c r="H245" s="14" t="n">
        <v>0</v>
      </c>
      <c r="I245" s="14" t="n">
        <v>2</v>
      </c>
      <c r="J245" s="14" t="s">
        <v>352</v>
      </c>
      <c r="K245" s="16"/>
      <c r="L245" s="16"/>
      <c r="M245" s="14"/>
      <c r="N245" s="13" t="s">
        <v>778</v>
      </c>
      <c r="O245" s="13" t="s">
        <v>1295</v>
      </c>
    </row>
    <row r="246" customFormat="false" ht="15" hidden="false" customHeight="false" outlineLevel="0" collapsed="false">
      <c r="A246" s="13" t="s">
        <v>2216</v>
      </c>
      <c r="B246" s="13" t="s">
        <v>1903</v>
      </c>
      <c r="C246" s="14" t="s">
        <v>1310</v>
      </c>
      <c r="D246" s="14"/>
      <c r="E246" s="14" t="s">
        <v>2217</v>
      </c>
      <c r="F246" s="16" t="s">
        <v>2218</v>
      </c>
      <c r="G246" s="16"/>
      <c r="H246" s="14" t="n">
        <v>7</v>
      </c>
      <c r="I246" s="14"/>
      <c r="J246" s="14" t="s">
        <v>396</v>
      </c>
      <c r="K246" s="16"/>
      <c r="L246" s="16"/>
      <c r="M246" s="14"/>
      <c r="N246" s="13" t="s">
        <v>778</v>
      </c>
      <c r="O246" s="13" t="s">
        <v>1295</v>
      </c>
    </row>
    <row r="247" customFormat="false" ht="15" hidden="false" customHeight="false" outlineLevel="0" collapsed="false">
      <c r="A247" s="13" t="s">
        <v>2219</v>
      </c>
      <c r="B247" s="13" t="s">
        <v>1903</v>
      </c>
      <c r="C247" s="14" t="s">
        <v>1310</v>
      </c>
      <c r="D247" s="14"/>
      <c r="E247" s="14" t="s">
        <v>2220</v>
      </c>
      <c r="F247" s="16" t="s">
        <v>2221</v>
      </c>
      <c r="G247" s="16"/>
      <c r="H247" s="14" t="n">
        <v>3</v>
      </c>
      <c r="I247" s="14"/>
      <c r="J247" s="14" t="s">
        <v>352</v>
      </c>
      <c r="K247" s="16"/>
      <c r="L247" s="16"/>
      <c r="M247" s="14"/>
      <c r="N247" s="13" t="s">
        <v>778</v>
      </c>
      <c r="O247" s="13" t="s">
        <v>1295</v>
      </c>
    </row>
    <row r="248" customFormat="false" ht="15" hidden="false" customHeight="false" outlineLevel="0" collapsed="false">
      <c r="A248" s="13" t="s">
        <v>2222</v>
      </c>
      <c r="B248" s="13" t="s">
        <v>1903</v>
      </c>
      <c r="C248" s="14" t="s">
        <v>1310</v>
      </c>
      <c r="D248" s="14"/>
      <c r="E248" s="14" t="s">
        <v>2223</v>
      </c>
      <c r="F248" s="16" t="s">
        <v>2224</v>
      </c>
      <c r="G248" s="16"/>
      <c r="H248" s="14" t="n">
        <v>9</v>
      </c>
      <c r="I248" s="14"/>
      <c r="J248" s="14" t="s">
        <v>352</v>
      </c>
      <c r="K248" s="16"/>
      <c r="L248" s="16"/>
      <c r="M248" s="14"/>
      <c r="N248" s="13" t="s">
        <v>778</v>
      </c>
      <c r="O248" s="13" t="s">
        <v>1295</v>
      </c>
    </row>
    <row r="249" customFormat="false" ht="15" hidden="false" customHeight="false" outlineLevel="0" collapsed="false">
      <c r="A249" s="13" t="s">
        <v>2225</v>
      </c>
      <c r="B249" s="13" t="s">
        <v>1903</v>
      </c>
      <c r="C249" s="14" t="s">
        <v>1301</v>
      </c>
      <c r="D249" s="14"/>
      <c r="E249" s="14" t="s">
        <v>2226</v>
      </c>
      <c r="F249" s="16" t="s">
        <v>2227</v>
      </c>
      <c r="G249" s="16"/>
      <c r="H249" s="14" t="n">
        <v>4</v>
      </c>
      <c r="I249" s="14"/>
      <c r="J249" s="14" t="s">
        <v>396</v>
      </c>
      <c r="K249" s="16"/>
      <c r="L249" s="16"/>
      <c r="M249" s="14" t="s">
        <v>352</v>
      </c>
      <c r="N249" s="13" t="s">
        <v>778</v>
      </c>
      <c r="O249" s="13" t="s">
        <v>1295</v>
      </c>
    </row>
    <row r="250" customFormat="false" ht="15" hidden="false" customHeight="false" outlineLevel="0" collapsed="false">
      <c r="A250" s="13" t="s">
        <v>2228</v>
      </c>
      <c r="B250" s="13" t="s">
        <v>1903</v>
      </c>
      <c r="C250" s="14" t="s">
        <v>1301</v>
      </c>
      <c r="D250" s="14"/>
      <c r="E250" s="14" t="s">
        <v>2229</v>
      </c>
      <c r="F250" s="16" t="s">
        <v>2230</v>
      </c>
      <c r="G250" s="16"/>
      <c r="H250" s="14" t="n">
        <v>7</v>
      </c>
      <c r="I250" s="14"/>
      <c r="J250" s="14" t="s">
        <v>352</v>
      </c>
      <c r="K250" s="16"/>
      <c r="L250" s="16"/>
      <c r="M250" s="14"/>
      <c r="N250" s="13" t="s">
        <v>778</v>
      </c>
      <c r="O250" s="13" t="s">
        <v>1295</v>
      </c>
    </row>
    <row r="251" customFormat="false" ht="15" hidden="false" customHeight="false" outlineLevel="0" collapsed="false">
      <c r="A251" s="13" t="s">
        <v>2231</v>
      </c>
      <c r="B251" s="13" t="s">
        <v>1903</v>
      </c>
      <c r="C251" s="14" t="s">
        <v>1301</v>
      </c>
      <c r="D251" s="14"/>
      <c r="E251" s="14" t="s">
        <v>2232</v>
      </c>
      <c r="F251" s="16" t="s">
        <v>2233</v>
      </c>
      <c r="G251" s="16"/>
      <c r="H251" s="14" t="n">
        <v>6</v>
      </c>
      <c r="I251" s="14"/>
      <c r="J251" s="14" t="s">
        <v>352</v>
      </c>
      <c r="K251" s="16"/>
      <c r="L251" s="16"/>
      <c r="M251" s="14"/>
      <c r="N251" s="13" t="s">
        <v>778</v>
      </c>
      <c r="O251" s="13" t="s">
        <v>1295</v>
      </c>
    </row>
    <row r="252" customFormat="false" ht="15" hidden="false" customHeight="false" outlineLevel="0" collapsed="false">
      <c r="A252" s="13" t="s">
        <v>2234</v>
      </c>
      <c r="B252" s="13" t="s">
        <v>1903</v>
      </c>
      <c r="C252" s="14" t="s">
        <v>1301</v>
      </c>
      <c r="D252" s="14"/>
      <c r="E252" s="14" t="s">
        <v>2235</v>
      </c>
      <c r="F252" s="16" t="s">
        <v>2236</v>
      </c>
      <c r="G252" s="16"/>
      <c r="H252" s="14" t="n">
        <v>8</v>
      </c>
      <c r="I252" s="14"/>
      <c r="J252" s="14" t="s">
        <v>352</v>
      </c>
      <c r="K252" s="16"/>
      <c r="L252" s="16"/>
      <c r="M252" s="14"/>
      <c r="N252" s="13" t="s">
        <v>778</v>
      </c>
      <c r="O252" s="13" t="s">
        <v>1295</v>
      </c>
    </row>
    <row r="253" customFormat="false" ht="15" hidden="false" customHeight="false" outlineLevel="0" collapsed="false">
      <c r="A253" s="13" t="s">
        <v>2237</v>
      </c>
      <c r="B253" s="13" t="s">
        <v>1903</v>
      </c>
      <c r="C253" s="14" t="s">
        <v>1301</v>
      </c>
      <c r="D253" s="14"/>
      <c r="E253" s="14" t="s">
        <v>2238</v>
      </c>
      <c r="F253" s="16" t="s">
        <v>2239</v>
      </c>
      <c r="G253" s="16"/>
      <c r="H253" s="14" t="n">
        <v>3</v>
      </c>
      <c r="I253" s="14"/>
      <c r="J253" s="14" t="s">
        <v>352</v>
      </c>
      <c r="K253" s="16"/>
      <c r="L253" s="16"/>
      <c r="M253" s="14"/>
      <c r="N253" s="13" t="s">
        <v>778</v>
      </c>
      <c r="O253" s="13" t="s">
        <v>1295</v>
      </c>
    </row>
    <row r="254" customFormat="false" ht="15" hidden="false" customHeight="false" outlineLevel="0" collapsed="false">
      <c r="A254" s="13" t="s">
        <v>2240</v>
      </c>
      <c r="B254" s="13" t="s">
        <v>1903</v>
      </c>
      <c r="C254" s="14" t="s">
        <v>1301</v>
      </c>
      <c r="D254" s="14"/>
      <c r="E254" s="14" t="s">
        <v>2241</v>
      </c>
      <c r="F254" s="16" t="s">
        <v>2242</v>
      </c>
      <c r="G254" s="16"/>
      <c r="H254" s="14" t="n">
        <v>10</v>
      </c>
      <c r="I254" s="14"/>
      <c r="J254" s="14" t="s">
        <v>396</v>
      </c>
      <c r="K254" s="16"/>
      <c r="L254" s="16"/>
      <c r="M254" s="14" t="s">
        <v>352</v>
      </c>
      <c r="N254" s="13" t="s">
        <v>778</v>
      </c>
      <c r="O254" s="13" t="s">
        <v>1295</v>
      </c>
    </row>
    <row r="255" customFormat="false" ht="15" hidden="false" customHeight="false" outlineLevel="0" collapsed="false">
      <c r="A255" s="13" t="s">
        <v>2243</v>
      </c>
      <c r="B255" s="13" t="s">
        <v>1903</v>
      </c>
      <c r="C255" s="14" t="s">
        <v>1301</v>
      </c>
      <c r="D255" s="14"/>
      <c r="E255" s="14" t="s">
        <v>2244</v>
      </c>
      <c r="F255" s="16" t="s">
        <v>2245</v>
      </c>
      <c r="G255" s="16"/>
      <c r="H255" s="14" t="n">
        <v>14</v>
      </c>
      <c r="I255" s="14"/>
      <c r="J255" s="14" t="s">
        <v>352</v>
      </c>
      <c r="K255" s="16"/>
      <c r="L255" s="16"/>
      <c r="M255" s="14"/>
      <c r="N255" s="13" t="s">
        <v>778</v>
      </c>
      <c r="O255" s="13" t="s">
        <v>1295</v>
      </c>
    </row>
    <row r="256" customFormat="false" ht="15" hidden="false" customHeight="false" outlineLevel="0" collapsed="false">
      <c r="A256" s="13" t="s">
        <v>2246</v>
      </c>
      <c r="B256" s="13" t="s">
        <v>1903</v>
      </c>
      <c r="C256" s="14" t="s">
        <v>1301</v>
      </c>
      <c r="D256" s="14"/>
      <c r="E256" s="14" t="s">
        <v>2247</v>
      </c>
      <c r="F256" s="16" t="s">
        <v>2248</v>
      </c>
      <c r="G256" s="16"/>
      <c r="H256" s="14" t="n">
        <v>12</v>
      </c>
      <c r="I256" s="14"/>
      <c r="J256" s="14" t="s">
        <v>352</v>
      </c>
      <c r="K256" s="16"/>
      <c r="L256" s="16"/>
      <c r="M256" s="14"/>
      <c r="N256" s="13" t="s">
        <v>778</v>
      </c>
      <c r="O256" s="13" t="s">
        <v>1295</v>
      </c>
    </row>
    <row r="257" customFormat="false" ht="15" hidden="false" customHeight="false" outlineLevel="0" collapsed="false">
      <c r="A257" s="13" t="s">
        <v>2249</v>
      </c>
      <c r="B257" s="13" t="s">
        <v>1903</v>
      </c>
      <c r="C257" s="14" t="s">
        <v>1319</v>
      </c>
      <c r="D257" s="14"/>
      <c r="E257" s="14" t="s">
        <v>2250</v>
      </c>
      <c r="F257" s="16" t="s">
        <v>2251</v>
      </c>
      <c r="G257" s="16"/>
      <c r="H257" s="14" t="n">
        <v>8</v>
      </c>
      <c r="I257" s="14"/>
      <c r="J257" s="14" t="s">
        <v>396</v>
      </c>
      <c r="K257" s="16"/>
      <c r="L257" s="16"/>
      <c r="M257" s="14"/>
      <c r="N257" s="13" t="s">
        <v>778</v>
      </c>
      <c r="O257" s="13" t="s">
        <v>1295</v>
      </c>
    </row>
    <row r="258" customFormat="false" ht="15" hidden="false" customHeight="false" outlineLevel="0" collapsed="false">
      <c r="A258" s="13" t="s">
        <v>2252</v>
      </c>
      <c r="B258" s="13" t="s">
        <v>1903</v>
      </c>
      <c r="C258" s="14" t="s">
        <v>1319</v>
      </c>
      <c r="D258" s="14"/>
      <c r="E258" s="14" t="s">
        <v>2253</v>
      </c>
      <c r="F258" s="16" t="s">
        <v>2254</v>
      </c>
      <c r="G258" s="16"/>
      <c r="H258" s="14" t="n">
        <v>5</v>
      </c>
      <c r="I258" s="14"/>
      <c r="J258" s="14" t="s">
        <v>396</v>
      </c>
      <c r="K258" s="16"/>
      <c r="L258" s="16"/>
      <c r="M258" s="14"/>
      <c r="N258" s="13" t="s">
        <v>778</v>
      </c>
      <c r="O258" s="13" t="s">
        <v>1295</v>
      </c>
    </row>
    <row r="259" customFormat="false" ht="15" hidden="false" customHeight="false" outlineLevel="0" collapsed="false">
      <c r="A259" s="13" t="s">
        <v>2255</v>
      </c>
      <c r="B259" s="13" t="s">
        <v>1903</v>
      </c>
      <c r="C259" s="14" t="s">
        <v>1319</v>
      </c>
      <c r="D259" s="14"/>
      <c r="E259" s="14" t="s">
        <v>2256</v>
      </c>
      <c r="F259" s="16" t="s">
        <v>2257</v>
      </c>
      <c r="G259" s="16"/>
      <c r="H259" s="14" t="n">
        <v>16</v>
      </c>
      <c r="I259" s="14"/>
      <c r="J259" s="14" t="s">
        <v>352</v>
      </c>
      <c r="K259" s="16"/>
      <c r="L259" s="16"/>
      <c r="M259" s="14"/>
      <c r="N259" s="13" t="s">
        <v>778</v>
      </c>
      <c r="O259" s="13" t="s">
        <v>1295</v>
      </c>
    </row>
    <row r="260" customFormat="false" ht="15" hidden="false" customHeight="false" outlineLevel="0" collapsed="false">
      <c r="A260" s="13" t="s">
        <v>2258</v>
      </c>
      <c r="B260" s="13" t="s">
        <v>1903</v>
      </c>
      <c r="C260" s="14" t="s">
        <v>1319</v>
      </c>
      <c r="D260" s="14"/>
      <c r="E260" s="14" t="s">
        <v>2259</v>
      </c>
      <c r="F260" s="16" t="s">
        <v>2260</v>
      </c>
      <c r="G260" s="16"/>
      <c r="H260" s="14" t="n">
        <v>12</v>
      </c>
      <c r="I260" s="14"/>
      <c r="J260" s="14" t="s">
        <v>396</v>
      </c>
      <c r="K260" s="16"/>
      <c r="L260" s="16"/>
      <c r="M260" s="14"/>
      <c r="N260" s="13" t="s">
        <v>778</v>
      </c>
      <c r="O260" s="13" t="s">
        <v>1295</v>
      </c>
    </row>
    <row r="261" customFormat="false" ht="15" hidden="false" customHeight="false" outlineLevel="0" collapsed="false">
      <c r="A261" s="13" t="s">
        <v>2261</v>
      </c>
      <c r="B261" s="13" t="s">
        <v>1903</v>
      </c>
      <c r="C261" s="14" t="s">
        <v>1319</v>
      </c>
      <c r="D261" s="14"/>
      <c r="E261" s="14" t="s">
        <v>2262</v>
      </c>
      <c r="F261" s="16" t="s">
        <v>2263</v>
      </c>
      <c r="G261" s="16"/>
      <c r="H261" s="14" t="n">
        <v>4</v>
      </c>
      <c r="I261" s="14"/>
      <c r="J261" s="14" t="s">
        <v>352</v>
      </c>
      <c r="K261" s="16"/>
      <c r="L261" s="16"/>
      <c r="M261" s="14"/>
      <c r="N261" s="13" t="s">
        <v>778</v>
      </c>
      <c r="O261" s="13" t="s">
        <v>1295</v>
      </c>
    </row>
    <row r="262" customFormat="false" ht="15" hidden="false" customHeight="false" outlineLevel="0" collapsed="false">
      <c r="A262" s="13" t="s">
        <v>2264</v>
      </c>
      <c r="B262" s="13" t="s">
        <v>1903</v>
      </c>
      <c r="C262" s="14" t="s">
        <v>1319</v>
      </c>
      <c r="D262" s="14"/>
      <c r="E262" s="14" t="s">
        <v>2265</v>
      </c>
      <c r="F262" s="16" t="s">
        <v>2266</v>
      </c>
      <c r="G262" s="16"/>
      <c r="H262" s="14" t="n">
        <v>7</v>
      </c>
      <c r="I262" s="14"/>
      <c r="J262" s="14" t="s">
        <v>352</v>
      </c>
      <c r="K262" s="16"/>
      <c r="L262" s="16"/>
      <c r="M262" s="14"/>
      <c r="N262" s="13" t="s">
        <v>778</v>
      </c>
      <c r="O262" s="13" t="s">
        <v>1295</v>
      </c>
    </row>
    <row r="263" customFormat="false" ht="15" hidden="false" customHeight="false" outlineLevel="0" collapsed="false">
      <c r="A263" s="13" t="s">
        <v>2267</v>
      </c>
      <c r="B263" s="13" t="s">
        <v>1903</v>
      </c>
      <c r="C263" s="14" t="s">
        <v>1319</v>
      </c>
      <c r="D263" s="14"/>
      <c r="E263" s="14" t="s">
        <v>2268</v>
      </c>
      <c r="F263" s="16" t="s">
        <v>2269</v>
      </c>
      <c r="G263" s="16"/>
      <c r="H263" s="14" t="n">
        <v>20</v>
      </c>
      <c r="I263" s="14"/>
      <c r="J263" s="14" t="s">
        <v>396</v>
      </c>
      <c r="K263" s="16"/>
      <c r="L263" s="16"/>
      <c r="M263" s="14"/>
      <c r="N263" s="13" t="s">
        <v>778</v>
      </c>
      <c r="O263" s="13" t="s">
        <v>1295</v>
      </c>
    </row>
    <row r="264" customFormat="false" ht="15" hidden="false" customHeight="false" outlineLevel="0" collapsed="false">
      <c r="A264" s="13" t="s">
        <v>2270</v>
      </c>
      <c r="B264" s="13" t="s">
        <v>1903</v>
      </c>
      <c r="C264" s="14" t="s">
        <v>1319</v>
      </c>
      <c r="D264" s="14"/>
      <c r="E264" s="14" t="s">
        <v>2271</v>
      </c>
      <c r="F264" s="16" t="s">
        <v>2272</v>
      </c>
      <c r="G264" s="16"/>
      <c r="H264" s="14" t="n">
        <v>9</v>
      </c>
      <c r="I264" s="14"/>
      <c r="J264" s="14" t="s">
        <v>352</v>
      </c>
      <c r="K264" s="16"/>
      <c r="L264" s="16"/>
      <c r="M264" s="14"/>
      <c r="N264" s="13" t="s">
        <v>778</v>
      </c>
      <c r="O264" s="13" t="s">
        <v>1295</v>
      </c>
    </row>
    <row r="265" customFormat="false" ht="15" hidden="false" customHeight="false" outlineLevel="0" collapsed="false">
      <c r="A265" s="13" t="s">
        <v>2273</v>
      </c>
      <c r="B265" s="13" t="s">
        <v>1903</v>
      </c>
      <c r="C265" s="14" t="s">
        <v>1319</v>
      </c>
      <c r="D265" s="14"/>
      <c r="E265" s="14" t="s">
        <v>2274</v>
      </c>
      <c r="F265" s="16" t="s">
        <v>2275</v>
      </c>
      <c r="G265" s="16"/>
      <c r="H265" s="14" t="n">
        <v>24</v>
      </c>
      <c r="I265" s="14"/>
      <c r="J265" s="14" t="s">
        <v>352</v>
      </c>
      <c r="K265" s="16"/>
      <c r="L265" s="16"/>
      <c r="M265" s="14"/>
      <c r="N265" s="13" t="s">
        <v>778</v>
      </c>
      <c r="O265" s="13" t="s">
        <v>1295</v>
      </c>
    </row>
    <row r="266" customFormat="false" ht="15" hidden="false" customHeight="false" outlineLevel="0" collapsed="false">
      <c r="A266" s="13" t="s">
        <v>2276</v>
      </c>
      <c r="B266" s="13" t="s">
        <v>1903</v>
      </c>
      <c r="C266" s="14" t="s">
        <v>1319</v>
      </c>
      <c r="D266" s="14"/>
      <c r="E266" s="14" t="s">
        <v>2277</v>
      </c>
      <c r="F266" s="16" t="s">
        <v>2278</v>
      </c>
      <c r="G266" s="16"/>
      <c r="H266" s="14" t="n">
        <v>30</v>
      </c>
      <c r="I266" s="14"/>
      <c r="J266" s="14" t="s">
        <v>352</v>
      </c>
      <c r="K266" s="16"/>
      <c r="L266" s="16"/>
      <c r="M266" s="14"/>
      <c r="N266" s="13" t="s">
        <v>778</v>
      </c>
      <c r="O266" s="13" t="s">
        <v>1295</v>
      </c>
    </row>
    <row r="267" customFormat="false" ht="15" hidden="false" customHeight="false" outlineLevel="0" collapsed="false">
      <c r="A267" s="13" t="s">
        <v>2279</v>
      </c>
      <c r="B267" s="13" t="s">
        <v>1903</v>
      </c>
      <c r="C267" s="14" t="s">
        <v>1319</v>
      </c>
      <c r="D267" s="14"/>
      <c r="E267" s="14" t="s">
        <v>2280</v>
      </c>
      <c r="F267" s="16" t="s">
        <v>2281</v>
      </c>
      <c r="G267" s="16"/>
      <c r="H267" s="14" t="n">
        <v>6</v>
      </c>
      <c r="I267" s="14"/>
      <c r="J267" s="14" t="s">
        <v>396</v>
      </c>
      <c r="K267" s="16"/>
      <c r="L267" s="16"/>
      <c r="M267" s="14"/>
      <c r="N267" s="13" t="s">
        <v>778</v>
      </c>
      <c r="O267" s="13" t="s">
        <v>1295</v>
      </c>
    </row>
    <row r="268" customFormat="false" ht="15" hidden="false" customHeight="false" outlineLevel="0" collapsed="false">
      <c r="A268" s="13" t="s">
        <v>2282</v>
      </c>
      <c r="B268" s="13" t="s">
        <v>1903</v>
      </c>
      <c r="C268" s="14" t="s">
        <v>1324</v>
      </c>
      <c r="D268" s="14"/>
      <c r="E268" s="14" t="s">
        <v>2283</v>
      </c>
      <c r="F268" s="16" t="s">
        <v>2284</v>
      </c>
      <c r="G268" s="16"/>
      <c r="H268" s="14" t="n">
        <v>7</v>
      </c>
      <c r="I268" s="14"/>
      <c r="J268" s="14" t="s">
        <v>396</v>
      </c>
      <c r="K268" s="16"/>
      <c r="L268" s="16"/>
      <c r="M268" s="14"/>
      <c r="N268" s="13" t="s">
        <v>778</v>
      </c>
      <c r="O268" s="13" t="s">
        <v>1295</v>
      </c>
    </row>
    <row r="269" customFormat="false" ht="15" hidden="false" customHeight="false" outlineLevel="0" collapsed="false">
      <c r="A269" s="13" t="s">
        <v>2285</v>
      </c>
      <c r="B269" s="13" t="s">
        <v>1903</v>
      </c>
      <c r="C269" s="14" t="s">
        <v>1324</v>
      </c>
      <c r="D269" s="14"/>
      <c r="E269" s="14" t="s">
        <v>2286</v>
      </c>
      <c r="F269" s="16" t="s">
        <v>2287</v>
      </c>
      <c r="G269" s="16"/>
      <c r="H269" s="14" t="n">
        <v>3</v>
      </c>
      <c r="I269" s="14"/>
      <c r="J269" s="14" t="s">
        <v>396</v>
      </c>
      <c r="K269" s="16"/>
      <c r="L269" s="16"/>
      <c r="M269" s="14"/>
      <c r="N269" s="13" t="s">
        <v>778</v>
      </c>
      <c r="O269" s="13" t="s">
        <v>1295</v>
      </c>
    </row>
    <row r="270" customFormat="false" ht="15" hidden="false" customHeight="false" outlineLevel="0" collapsed="false">
      <c r="A270" s="13" t="s">
        <v>2288</v>
      </c>
      <c r="B270" s="13" t="s">
        <v>1903</v>
      </c>
      <c r="C270" s="14" t="s">
        <v>1324</v>
      </c>
      <c r="D270" s="14"/>
      <c r="E270" s="14" t="s">
        <v>2289</v>
      </c>
      <c r="F270" s="16" t="s">
        <v>2290</v>
      </c>
      <c r="G270" s="16"/>
      <c r="H270" s="14" t="n">
        <v>0</v>
      </c>
      <c r="I270" s="14" t="n">
        <v>2</v>
      </c>
      <c r="J270" s="14" t="s">
        <v>352</v>
      </c>
      <c r="K270" s="16"/>
      <c r="L270" s="16"/>
      <c r="M270" s="14"/>
      <c r="N270" s="13" t="s">
        <v>778</v>
      </c>
      <c r="O270" s="13" t="s">
        <v>1295</v>
      </c>
    </row>
    <row r="271" customFormat="false" ht="15" hidden="false" customHeight="false" outlineLevel="0" collapsed="false">
      <c r="A271" s="13" t="s">
        <v>2291</v>
      </c>
      <c r="B271" s="13" t="s">
        <v>1903</v>
      </c>
      <c r="C271" s="14" t="s">
        <v>1324</v>
      </c>
      <c r="D271" s="14"/>
      <c r="E271" s="14" t="s">
        <v>2292</v>
      </c>
      <c r="F271" s="16" t="s">
        <v>2293</v>
      </c>
      <c r="G271" s="16"/>
      <c r="H271" s="14" t="n">
        <v>2</v>
      </c>
      <c r="I271" s="14"/>
      <c r="J271" s="14" t="s">
        <v>352</v>
      </c>
      <c r="K271" s="16"/>
      <c r="L271" s="16"/>
      <c r="M271" s="14"/>
      <c r="N271" s="13" t="s">
        <v>778</v>
      </c>
      <c r="O271" s="13" t="s">
        <v>1295</v>
      </c>
    </row>
    <row r="272" customFormat="false" ht="15" hidden="false" customHeight="false" outlineLevel="0" collapsed="false">
      <c r="A272" s="13" t="s">
        <v>2294</v>
      </c>
      <c r="B272" s="13" t="s">
        <v>1903</v>
      </c>
      <c r="C272" s="14" t="s">
        <v>1324</v>
      </c>
      <c r="D272" s="14"/>
      <c r="E272" s="14" t="s">
        <v>2295</v>
      </c>
      <c r="F272" s="16" t="s">
        <v>2296</v>
      </c>
      <c r="G272" s="16"/>
      <c r="H272" s="14" t="n">
        <v>0</v>
      </c>
      <c r="I272" s="14" t="n">
        <v>1</v>
      </c>
      <c r="J272" s="14" t="s">
        <v>352</v>
      </c>
      <c r="K272" s="16"/>
      <c r="L272" s="16"/>
      <c r="M272" s="14"/>
      <c r="N272" s="13" t="s">
        <v>778</v>
      </c>
      <c r="O272" s="13" t="s">
        <v>1295</v>
      </c>
    </row>
    <row r="273" customFormat="false" ht="15" hidden="false" customHeight="false" outlineLevel="0" collapsed="false">
      <c r="A273" s="13" t="s">
        <v>2297</v>
      </c>
      <c r="B273" s="13" t="s">
        <v>1903</v>
      </c>
      <c r="C273" s="14" t="s">
        <v>1324</v>
      </c>
      <c r="D273" s="14"/>
      <c r="E273" s="14" t="s">
        <v>2298</v>
      </c>
      <c r="F273" s="16" t="s">
        <v>2299</v>
      </c>
      <c r="G273" s="16"/>
      <c r="H273" s="14" t="n">
        <v>6</v>
      </c>
      <c r="I273" s="14"/>
      <c r="J273" s="14" t="s">
        <v>396</v>
      </c>
      <c r="K273" s="16"/>
      <c r="L273" s="16"/>
      <c r="M273" s="14" t="s">
        <v>352</v>
      </c>
      <c r="N273" s="13" t="s">
        <v>778</v>
      </c>
      <c r="O273" s="13" t="s">
        <v>1295</v>
      </c>
    </row>
    <row r="274" customFormat="false" ht="15" hidden="false" customHeight="false" outlineLevel="0" collapsed="false">
      <c r="A274" s="13" t="s">
        <v>2300</v>
      </c>
      <c r="B274" s="13" t="s">
        <v>1903</v>
      </c>
      <c r="C274" s="14" t="s">
        <v>1324</v>
      </c>
      <c r="D274" s="14"/>
      <c r="E274" s="14" t="s">
        <v>2301</v>
      </c>
      <c r="F274" s="16" t="s">
        <v>2302</v>
      </c>
      <c r="G274" s="16"/>
      <c r="H274" s="14" t="n">
        <v>5</v>
      </c>
      <c r="I274" s="14"/>
      <c r="J274" s="14" t="s">
        <v>396</v>
      </c>
      <c r="K274" s="16"/>
      <c r="L274" s="16"/>
      <c r="M274" s="14"/>
      <c r="N274" s="13" t="s">
        <v>778</v>
      </c>
      <c r="O274" s="13" t="s">
        <v>1295</v>
      </c>
    </row>
    <row r="275" customFormat="false" ht="15" hidden="false" customHeight="false" outlineLevel="0" collapsed="false">
      <c r="A275" s="13" t="s">
        <v>2303</v>
      </c>
      <c r="B275" s="13" t="s">
        <v>1903</v>
      </c>
      <c r="C275" s="14" t="s">
        <v>1324</v>
      </c>
      <c r="D275" s="14"/>
      <c r="E275" s="14" t="s">
        <v>2304</v>
      </c>
      <c r="F275" s="16" t="s">
        <v>2305</v>
      </c>
      <c r="G275" s="16"/>
      <c r="H275" s="14" t="n">
        <v>2</v>
      </c>
      <c r="I275" s="14"/>
      <c r="J275" s="14" t="s">
        <v>352</v>
      </c>
      <c r="K275" s="16"/>
      <c r="L275" s="16"/>
      <c r="M275" s="14"/>
      <c r="N275" s="13" t="s">
        <v>778</v>
      </c>
      <c r="O275" s="13" t="s">
        <v>1295</v>
      </c>
    </row>
    <row r="276" customFormat="false" ht="15" hidden="false" customHeight="false" outlineLevel="0" collapsed="false">
      <c r="A276" s="13" t="s">
        <v>2306</v>
      </c>
      <c r="B276" s="13" t="s">
        <v>1903</v>
      </c>
      <c r="C276" s="14" t="s">
        <v>1324</v>
      </c>
      <c r="D276" s="14"/>
      <c r="E276" s="14" t="s">
        <v>2307</v>
      </c>
      <c r="F276" s="16" t="s">
        <v>2308</v>
      </c>
      <c r="G276" s="16"/>
      <c r="H276" s="14" t="n">
        <v>22</v>
      </c>
      <c r="I276" s="14"/>
      <c r="J276" s="14" t="s">
        <v>352</v>
      </c>
      <c r="K276" s="16"/>
      <c r="L276" s="16"/>
      <c r="M276" s="14"/>
      <c r="N276" s="13" t="s">
        <v>778</v>
      </c>
      <c r="O276" s="13" t="s">
        <v>1295</v>
      </c>
    </row>
    <row r="277" customFormat="false" ht="15" hidden="false" customHeight="false" outlineLevel="0" collapsed="false">
      <c r="A277" s="13" t="s">
        <v>2309</v>
      </c>
      <c r="B277" s="13" t="s">
        <v>1903</v>
      </c>
      <c r="C277" s="14" t="s">
        <v>1324</v>
      </c>
      <c r="D277" s="14"/>
      <c r="E277" s="14" t="s">
        <v>2310</v>
      </c>
      <c r="F277" s="16" t="s">
        <v>2311</v>
      </c>
      <c r="G277" s="16"/>
      <c r="H277" s="14" t="n">
        <v>4</v>
      </c>
      <c r="I277" s="14"/>
      <c r="J277" s="14" t="s">
        <v>396</v>
      </c>
      <c r="K277" s="16"/>
      <c r="L277" s="16"/>
      <c r="M277" s="14"/>
      <c r="N277" s="13" t="s">
        <v>778</v>
      </c>
      <c r="O277" s="13" t="s">
        <v>1295</v>
      </c>
    </row>
    <row r="278" customFormat="false" ht="15" hidden="false" customHeight="false" outlineLevel="0" collapsed="false">
      <c r="A278" s="13" t="s">
        <v>2312</v>
      </c>
      <c r="B278" s="13" t="s">
        <v>1903</v>
      </c>
      <c r="C278" s="14" t="s">
        <v>1289</v>
      </c>
      <c r="D278" s="14"/>
      <c r="E278" s="14" t="s">
        <v>2313</v>
      </c>
      <c r="F278" s="16" t="s">
        <v>2314</v>
      </c>
      <c r="G278" s="16"/>
      <c r="H278" s="14" t="n">
        <v>12</v>
      </c>
      <c r="I278" s="14"/>
      <c r="J278" s="14" t="s">
        <v>352</v>
      </c>
      <c r="K278" s="16"/>
      <c r="L278" s="16"/>
      <c r="M278" s="14" t="s">
        <v>352</v>
      </c>
      <c r="N278" s="13" t="s">
        <v>778</v>
      </c>
      <c r="O278" s="13" t="s">
        <v>1295</v>
      </c>
    </row>
    <row r="279" customFormat="false" ht="15" hidden="false" customHeight="false" outlineLevel="0" collapsed="false">
      <c r="A279" s="13" t="s">
        <v>2315</v>
      </c>
      <c r="B279" s="13" t="s">
        <v>1903</v>
      </c>
      <c r="C279" s="14" t="s">
        <v>1289</v>
      </c>
      <c r="D279" s="14"/>
      <c r="E279" s="14" t="s">
        <v>2316</v>
      </c>
      <c r="F279" s="16" t="s">
        <v>2317</v>
      </c>
      <c r="G279" s="16"/>
      <c r="H279" s="14" t="n">
        <v>3</v>
      </c>
      <c r="I279" s="14"/>
      <c r="J279" s="14" t="s">
        <v>352</v>
      </c>
      <c r="K279" s="16"/>
      <c r="L279" s="16"/>
      <c r="M279" s="14" t="s">
        <v>352</v>
      </c>
      <c r="N279" s="13" t="s">
        <v>778</v>
      </c>
      <c r="O279" s="13" t="s">
        <v>1295</v>
      </c>
    </row>
    <row r="280" customFormat="false" ht="15" hidden="false" customHeight="false" outlineLevel="0" collapsed="false">
      <c r="A280" s="13" t="s">
        <v>2318</v>
      </c>
      <c r="B280" s="13" t="s">
        <v>1903</v>
      </c>
      <c r="C280" s="14" t="s">
        <v>1289</v>
      </c>
      <c r="D280" s="14"/>
      <c r="E280" s="14" t="s">
        <v>2319</v>
      </c>
      <c r="F280" s="16" t="s">
        <v>2320</v>
      </c>
      <c r="G280" s="16"/>
      <c r="H280" s="14" t="n">
        <v>0</v>
      </c>
      <c r="I280" s="14" t="n">
        <v>1</v>
      </c>
      <c r="J280" s="14" t="s">
        <v>352</v>
      </c>
      <c r="K280" s="16"/>
      <c r="L280" s="16"/>
      <c r="M280" s="14"/>
      <c r="N280" s="13" t="s">
        <v>778</v>
      </c>
      <c r="O280" s="13" t="s">
        <v>1295</v>
      </c>
    </row>
    <row r="281" customFormat="false" ht="15" hidden="false" customHeight="false" outlineLevel="0" collapsed="false">
      <c r="A281" s="13" t="s">
        <v>2321</v>
      </c>
      <c r="B281" s="13" t="s">
        <v>1903</v>
      </c>
      <c r="C281" s="14" t="s">
        <v>1289</v>
      </c>
      <c r="D281" s="14"/>
      <c r="E281" s="14" t="s">
        <v>2322</v>
      </c>
      <c r="F281" s="16" t="s">
        <v>2323</v>
      </c>
      <c r="G281" s="16"/>
      <c r="H281" s="14" t="n">
        <v>0</v>
      </c>
      <c r="I281" s="14" t="n">
        <v>1</v>
      </c>
      <c r="J281" s="14" t="s">
        <v>352</v>
      </c>
      <c r="K281" s="16"/>
      <c r="L281" s="16"/>
      <c r="M281" s="14"/>
      <c r="N281" s="13" t="s">
        <v>778</v>
      </c>
      <c r="O281" s="13" t="s">
        <v>1295</v>
      </c>
    </row>
    <row r="282" customFormat="false" ht="15" hidden="false" customHeight="false" outlineLevel="0" collapsed="false">
      <c r="A282" s="13" t="s">
        <v>2324</v>
      </c>
      <c r="B282" s="13" t="s">
        <v>1903</v>
      </c>
      <c r="C282" s="14" t="s">
        <v>1289</v>
      </c>
      <c r="D282" s="14"/>
      <c r="E282" s="14" t="s">
        <v>2325</v>
      </c>
      <c r="F282" s="16" t="s">
        <v>2326</v>
      </c>
      <c r="G282" s="16"/>
      <c r="H282" s="14" t="n">
        <v>15</v>
      </c>
      <c r="I282" s="14"/>
      <c r="J282" s="14" t="s">
        <v>352</v>
      </c>
      <c r="K282" s="16"/>
      <c r="L282" s="16"/>
      <c r="M282" s="14"/>
      <c r="N282" s="13" t="s">
        <v>778</v>
      </c>
      <c r="O282" s="13" t="s">
        <v>1295</v>
      </c>
    </row>
    <row r="283" customFormat="false" ht="15" hidden="false" customHeight="false" outlineLevel="0" collapsed="false">
      <c r="A283" s="13" t="s">
        <v>2327</v>
      </c>
      <c r="B283" s="13" t="s">
        <v>1903</v>
      </c>
      <c r="C283" s="14" t="s">
        <v>1289</v>
      </c>
      <c r="D283" s="14"/>
      <c r="E283" s="14" t="s">
        <v>2328</v>
      </c>
      <c r="F283" s="16" t="s">
        <v>2329</v>
      </c>
      <c r="G283" s="16"/>
      <c r="H283" s="14" t="n">
        <v>5</v>
      </c>
      <c r="I283" s="14"/>
      <c r="J283" s="14" t="s">
        <v>352</v>
      </c>
      <c r="K283" s="16"/>
      <c r="L283" s="16"/>
      <c r="M283" s="14"/>
      <c r="N283" s="13" t="s">
        <v>778</v>
      </c>
      <c r="O283" s="13" t="s">
        <v>1295</v>
      </c>
    </row>
    <row r="284" customFormat="false" ht="15" hidden="false" customHeight="false" outlineLevel="0" collapsed="false">
      <c r="A284" s="13" t="s">
        <v>2330</v>
      </c>
      <c r="B284" s="13" t="s">
        <v>1903</v>
      </c>
      <c r="C284" s="14" t="s">
        <v>1289</v>
      </c>
      <c r="D284" s="14"/>
      <c r="E284" s="14" t="s">
        <v>2331</v>
      </c>
      <c r="F284" s="16" t="s">
        <v>2332</v>
      </c>
      <c r="G284" s="16"/>
      <c r="H284" s="14" t="n">
        <v>3</v>
      </c>
      <c r="I284" s="14"/>
      <c r="J284" s="14" t="s">
        <v>396</v>
      </c>
      <c r="K284" s="16"/>
      <c r="L284" s="16"/>
      <c r="M284" s="14" t="s">
        <v>352</v>
      </c>
      <c r="N284" s="13" t="s">
        <v>778</v>
      </c>
      <c r="O284" s="13" t="s">
        <v>1295</v>
      </c>
    </row>
    <row r="285" customFormat="false" ht="15" hidden="false" customHeight="false" outlineLevel="0" collapsed="false">
      <c r="A285" s="13" t="s">
        <v>2333</v>
      </c>
      <c r="B285" s="13" t="s">
        <v>1903</v>
      </c>
      <c r="C285" s="14" t="s">
        <v>1289</v>
      </c>
      <c r="D285" s="14"/>
      <c r="E285" s="14" t="s">
        <v>2334</v>
      </c>
      <c r="F285" s="16" t="s">
        <v>2335</v>
      </c>
      <c r="G285" s="16"/>
      <c r="H285" s="14" t="n">
        <v>7</v>
      </c>
      <c r="I285" s="14"/>
      <c r="J285" s="14" t="s">
        <v>352</v>
      </c>
      <c r="K285" s="16"/>
      <c r="L285" s="16"/>
      <c r="M285" s="14"/>
      <c r="N285" s="13" t="s">
        <v>778</v>
      </c>
      <c r="O285" s="13" t="s">
        <v>1295</v>
      </c>
    </row>
    <row r="286" customFormat="false" ht="15" hidden="false" customHeight="false" outlineLevel="0" collapsed="false">
      <c r="A286" s="13" t="s">
        <v>2336</v>
      </c>
      <c r="B286" s="13" t="s">
        <v>1903</v>
      </c>
      <c r="C286" s="14" t="s">
        <v>1289</v>
      </c>
      <c r="D286" s="14"/>
      <c r="E286" s="14" t="s">
        <v>2337</v>
      </c>
      <c r="F286" s="16" t="s">
        <v>2338</v>
      </c>
      <c r="G286" s="16"/>
      <c r="H286" s="14" t="n">
        <v>8</v>
      </c>
      <c r="I286" s="14"/>
      <c r="J286" s="14" t="s">
        <v>352</v>
      </c>
      <c r="K286" s="16"/>
      <c r="L286" s="16"/>
      <c r="M286" s="14"/>
      <c r="N286" s="13" t="s">
        <v>778</v>
      </c>
      <c r="O286" s="13" t="s">
        <v>1295</v>
      </c>
    </row>
    <row r="287" customFormat="false" ht="15" hidden="false" customHeight="false" outlineLevel="0" collapsed="false">
      <c r="A287" s="13" t="s">
        <v>2339</v>
      </c>
      <c r="B287" s="13" t="s">
        <v>1903</v>
      </c>
      <c r="C287" s="14" t="s">
        <v>1289</v>
      </c>
      <c r="D287" s="14"/>
      <c r="E287" s="14" t="s">
        <v>2340</v>
      </c>
      <c r="F287" s="16" t="s">
        <v>2341</v>
      </c>
      <c r="G287" s="16"/>
      <c r="H287" s="14" t="n">
        <v>4</v>
      </c>
      <c r="I287" s="14"/>
      <c r="J287" s="14" t="s">
        <v>352</v>
      </c>
      <c r="K287" s="16"/>
      <c r="L287" s="16"/>
      <c r="M287" s="14"/>
      <c r="N287" s="13" t="s">
        <v>778</v>
      </c>
      <c r="O287" s="13" t="s">
        <v>1295</v>
      </c>
    </row>
    <row r="288" customFormat="false" ht="15" hidden="false" customHeight="false" outlineLevel="0" collapsed="false">
      <c r="A288" s="13" t="s">
        <v>2342</v>
      </c>
      <c r="B288" s="13" t="s">
        <v>1903</v>
      </c>
      <c r="C288" s="14" t="s">
        <v>1289</v>
      </c>
      <c r="D288" s="14"/>
      <c r="E288" s="14" t="s">
        <v>2343</v>
      </c>
      <c r="F288" s="16" t="s">
        <v>2344</v>
      </c>
      <c r="G288" s="16"/>
      <c r="H288" s="14" t="n">
        <v>10</v>
      </c>
      <c r="I288" s="14"/>
      <c r="J288" s="14" t="s">
        <v>352</v>
      </c>
      <c r="K288" s="16"/>
      <c r="L288" s="16"/>
      <c r="M288" s="14"/>
      <c r="N288" s="13" t="s">
        <v>778</v>
      </c>
      <c r="O288" s="13" t="s">
        <v>1295</v>
      </c>
    </row>
    <row r="289" customFormat="false" ht="15" hidden="false" customHeight="false" outlineLevel="0" collapsed="false">
      <c r="A289" s="13" t="s">
        <v>2345</v>
      </c>
      <c r="B289" s="13" t="s">
        <v>1903</v>
      </c>
      <c r="C289" s="14" t="s">
        <v>1289</v>
      </c>
      <c r="D289" s="14"/>
      <c r="E289" s="14" t="s">
        <v>2346</v>
      </c>
      <c r="F289" s="16" t="s">
        <v>2347</v>
      </c>
      <c r="G289" s="16"/>
      <c r="H289" s="14" t="n">
        <v>3</v>
      </c>
      <c r="I289" s="14"/>
      <c r="J289" s="14" t="s">
        <v>352</v>
      </c>
      <c r="K289" s="16"/>
      <c r="L289" s="16"/>
      <c r="M289" s="14" t="s">
        <v>352</v>
      </c>
      <c r="N289" s="13" t="s">
        <v>778</v>
      </c>
      <c r="O289" s="13" t="s">
        <v>1295</v>
      </c>
    </row>
    <row r="290" customFormat="false" ht="15" hidden="false" customHeight="false" outlineLevel="0" collapsed="false">
      <c r="A290" s="13" t="s">
        <v>2348</v>
      </c>
      <c r="B290" s="13" t="s">
        <v>1903</v>
      </c>
      <c r="C290" s="14" t="s">
        <v>847</v>
      </c>
      <c r="D290" s="14"/>
      <c r="E290" s="14" t="s">
        <v>2349</v>
      </c>
      <c r="F290" s="16" t="s">
        <v>2350</v>
      </c>
      <c r="G290" s="16"/>
      <c r="H290" s="14" t="n">
        <v>12</v>
      </c>
      <c r="I290" s="14"/>
      <c r="J290" s="14" t="s">
        <v>396</v>
      </c>
      <c r="K290" s="16"/>
      <c r="L290" s="16"/>
      <c r="M290" s="14"/>
      <c r="N290" s="13" t="s">
        <v>778</v>
      </c>
      <c r="O290" s="13" t="s">
        <v>1295</v>
      </c>
    </row>
    <row r="291" customFormat="false" ht="15" hidden="false" customHeight="false" outlineLevel="0" collapsed="false">
      <c r="A291" s="13" t="s">
        <v>2351</v>
      </c>
      <c r="B291" s="13" t="s">
        <v>1903</v>
      </c>
      <c r="C291" s="14" t="s">
        <v>847</v>
      </c>
      <c r="D291" s="14"/>
      <c r="E291" s="14" t="s">
        <v>2352</v>
      </c>
      <c r="F291" s="16" t="s">
        <v>2353</v>
      </c>
      <c r="G291" s="16"/>
      <c r="H291" s="14" t="n">
        <v>18</v>
      </c>
      <c r="I291" s="14"/>
      <c r="J291" s="14" t="s">
        <v>396</v>
      </c>
      <c r="K291" s="16"/>
      <c r="L291" s="16"/>
      <c r="M291" s="14"/>
      <c r="N291" s="13" t="s">
        <v>778</v>
      </c>
      <c r="O291" s="13" t="s">
        <v>1295</v>
      </c>
    </row>
    <row r="292" customFormat="false" ht="15" hidden="false" customHeight="false" outlineLevel="0" collapsed="false">
      <c r="A292" s="13" t="s">
        <v>2354</v>
      </c>
      <c r="B292" s="13" t="s">
        <v>1903</v>
      </c>
      <c r="C292" s="14" t="s">
        <v>847</v>
      </c>
      <c r="D292" s="14"/>
      <c r="E292" s="14" t="s">
        <v>2355</v>
      </c>
      <c r="F292" s="16" t="s">
        <v>2356</v>
      </c>
      <c r="G292" s="16"/>
      <c r="H292" s="14" t="n">
        <v>6</v>
      </c>
      <c r="I292" s="14"/>
      <c r="J292" s="14" t="s">
        <v>396</v>
      </c>
      <c r="K292" s="16"/>
      <c r="L292" s="16"/>
      <c r="M292" s="14"/>
      <c r="N292" s="13" t="s">
        <v>778</v>
      </c>
      <c r="O292" s="13" t="s">
        <v>1295</v>
      </c>
    </row>
    <row r="293" customFormat="false" ht="15" hidden="false" customHeight="false" outlineLevel="0" collapsed="false">
      <c r="A293" s="13" t="s">
        <v>2357</v>
      </c>
      <c r="B293" s="13" t="s">
        <v>1903</v>
      </c>
      <c r="C293" s="14" t="s">
        <v>847</v>
      </c>
      <c r="D293" s="14"/>
      <c r="E293" s="14" t="s">
        <v>2358</v>
      </c>
      <c r="F293" s="16" t="s">
        <v>2359</v>
      </c>
      <c r="G293" s="16"/>
      <c r="H293" s="14" t="n">
        <v>4</v>
      </c>
      <c r="I293" s="14"/>
      <c r="J293" s="14" t="s">
        <v>396</v>
      </c>
      <c r="K293" s="16"/>
      <c r="L293" s="16"/>
      <c r="M293" s="14"/>
      <c r="N293" s="13" t="s">
        <v>778</v>
      </c>
      <c r="O293" s="13" t="s">
        <v>1295</v>
      </c>
    </row>
    <row r="294" customFormat="false" ht="15" hidden="false" customHeight="false" outlineLevel="0" collapsed="false">
      <c r="A294" s="13" t="s">
        <v>2360</v>
      </c>
      <c r="B294" s="13" t="s">
        <v>1903</v>
      </c>
      <c r="C294" s="14" t="s">
        <v>847</v>
      </c>
      <c r="D294" s="14"/>
      <c r="E294" s="14" t="s">
        <v>2361</v>
      </c>
      <c r="F294" s="16" t="s">
        <v>2362</v>
      </c>
      <c r="G294" s="16"/>
      <c r="H294" s="14" t="n">
        <v>5</v>
      </c>
      <c r="I294" s="14" t="n">
        <v>2</v>
      </c>
      <c r="J294" s="14" t="s">
        <v>396</v>
      </c>
      <c r="K294" s="16"/>
      <c r="L294" s="16"/>
      <c r="M294" s="14"/>
      <c r="N294" s="13" t="s">
        <v>778</v>
      </c>
      <c r="O294" s="13" t="s">
        <v>1295</v>
      </c>
    </row>
    <row r="295" customFormat="false" ht="15" hidden="false" customHeight="false" outlineLevel="0" collapsed="false">
      <c r="A295" s="13" t="s">
        <v>2363</v>
      </c>
      <c r="B295" s="13" t="s">
        <v>1903</v>
      </c>
      <c r="C295" s="14" t="s">
        <v>847</v>
      </c>
      <c r="D295" s="14"/>
      <c r="E295" s="14" t="s">
        <v>2364</v>
      </c>
      <c r="F295" s="16" t="s">
        <v>2365</v>
      </c>
      <c r="G295" s="16"/>
      <c r="H295" s="14" t="n">
        <v>8</v>
      </c>
      <c r="I295" s="14"/>
      <c r="J295" s="14" t="s">
        <v>396</v>
      </c>
      <c r="K295" s="16"/>
      <c r="L295" s="16"/>
      <c r="M295" s="14"/>
      <c r="N295" s="13" t="s">
        <v>778</v>
      </c>
      <c r="O295" s="13" t="s">
        <v>1295</v>
      </c>
    </row>
    <row r="296" customFormat="false" ht="15" hidden="false" customHeight="false" outlineLevel="0" collapsed="false">
      <c r="A296" s="13" t="s">
        <v>2366</v>
      </c>
      <c r="B296" s="13" t="s">
        <v>1903</v>
      </c>
      <c r="C296" s="14" t="s">
        <v>847</v>
      </c>
      <c r="D296" s="14"/>
      <c r="E296" s="14" t="s">
        <v>2367</v>
      </c>
      <c r="F296" s="16" t="s">
        <v>2368</v>
      </c>
      <c r="G296" s="16"/>
      <c r="H296" s="14" t="n">
        <v>2</v>
      </c>
      <c r="I296" s="14"/>
      <c r="J296" s="14" t="s">
        <v>352</v>
      </c>
      <c r="K296" s="16"/>
      <c r="L296" s="16"/>
      <c r="M296" s="14"/>
      <c r="N296" s="13" t="s">
        <v>778</v>
      </c>
      <c r="O296" s="13" t="s">
        <v>1295</v>
      </c>
    </row>
    <row r="297" customFormat="false" ht="15" hidden="false" customHeight="false" outlineLevel="0" collapsed="false">
      <c r="A297" s="13" t="s">
        <v>2369</v>
      </c>
      <c r="B297" s="13" t="s">
        <v>1903</v>
      </c>
      <c r="C297" s="14" t="s">
        <v>847</v>
      </c>
      <c r="D297" s="14"/>
      <c r="E297" s="14" t="s">
        <v>2370</v>
      </c>
      <c r="F297" s="16" t="s">
        <v>2371</v>
      </c>
      <c r="G297" s="16"/>
      <c r="H297" s="14" t="n">
        <v>0</v>
      </c>
      <c r="I297" s="14" t="n">
        <v>1</v>
      </c>
      <c r="J297" s="14" t="s">
        <v>396</v>
      </c>
      <c r="K297" s="16"/>
      <c r="L297" s="16"/>
      <c r="M297" s="14"/>
      <c r="N297" s="13" t="s">
        <v>778</v>
      </c>
      <c r="O297" s="13" t="s">
        <v>1295</v>
      </c>
    </row>
    <row r="298" customFormat="false" ht="15" hidden="false" customHeight="false" outlineLevel="0" collapsed="false">
      <c r="A298" s="13" t="s">
        <v>2372</v>
      </c>
      <c r="B298" s="13" t="s">
        <v>1903</v>
      </c>
      <c r="C298" s="14" t="s">
        <v>847</v>
      </c>
      <c r="D298" s="14"/>
      <c r="E298" s="14" t="s">
        <v>2373</v>
      </c>
      <c r="F298" s="16" t="s">
        <v>2374</v>
      </c>
      <c r="G298" s="16"/>
      <c r="H298" s="14" t="n">
        <v>6</v>
      </c>
      <c r="I298" s="14"/>
      <c r="J298" s="14" t="s">
        <v>352</v>
      </c>
      <c r="K298" s="16"/>
      <c r="L298" s="16"/>
      <c r="M298" s="14"/>
      <c r="N298" s="13" t="s">
        <v>778</v>
      </c>
      <c r="O298" s="13" t="s">
        <v>1295</v>
      </c>
    </row>
    <row r="299" customFormat="false" ht="15" hidden="false" customHeight="false" outlineLevel="0" collapsed="false">
      <c r="A299" s="13" t="s">
        <v>2375</v>
      </c>
      <c r="B299" s="13" t="s">
        <v>1903</v>
      </c>
      <c r="C299" s="14" t="s">
        <v>1310</v>
      </c>
      <c r="D299" s="14"/>
      <c r="E299" s="14" t="s">
        <v>2376</v>
      </c>
      <c r="F299" s="16" t="s">
        <v>2377</v>
      </c>
      <c r="G299" s="16"/>
      <c r="H299" s="14" t="n">
        <v>2</v>
      </c>
      <c r="I299" s="14"/>
      <c r="J299" s="14" t="s">
        <v>396</v>
      </c>
      <c r="K299" s="16"/>
      <c r="L299" s="16"/>
      <c r="M299" s="14" t="s">
        <v>352</v>
      </c>
      <c r="N299" s="13" t="s">
        <v>778</v>
      </c>
      <c r="O299" s="13" t="s">
        <v>1295</v>
      </c>
    </row>
    <row r="300" customFormat="false" ht="15" hidden="false" customHeight="false" outlineLevel="0" collapsed="false">
      <c r="A300" s="13" t="s">
        <v>2378</v>
      </c>
      <c r="B300" s="13" t="s">
        <v>1903</v>
      </c>
      <c r="C300" s="14" t="s">
        <v>1301</v>
      </c>
      <c r="D300" s="14"/>
      <c r="E300" s="14" t="s">
        <v>2379</v>
      </c>
      <c r="F300" s="16" t="s">
        <v>2380</v>
      </c>
      <c r="G300" s="16"/>
      <c r="H300" s="14" t="n">
        <v>2</v>
      </c>
      <c r="I300" s="14"/>
      <c r="J300" s="14" t="s">
        <v>396</v>
      </c>
      <c r="K300" s="16"/>
      <c r="L300" s="16"/>
      <c r="M300" s="14"/>
      <c r="N300" s="13" t="s">
        <v>778</v>
      </c>
      <c r="O300" s="13" t="s">
        <v>1295</v>
      </c>
    </row>
    <row r="301" customFormat="false" ht="15" hidden="false" customHeight="false" outlineLevel="0" collapsed="false">
      <c r="A301" s="13" t="s">
        <v>2381</v>
      </c>
      <c r="B301" s="13" t="s">
        <v>1903</v>
      </c>
      <c r="C301" s="14" t="s">
        <v>1319</v>
      </c>
      <c r="D301" s="14"/>
      <c r="E301" s="14" t="s">
        <v>2382</v>
      </c>
      <c r="F301" s="16" t="s">
        <v>2383</v>
      </c>
      <c r="G301" s="16"/>
      <c r="H301" s="14" t="n">
        <v>2</v>
      </c>
      <c r="I301" s="14"/>
      <c r="J301" s="14" t="s">
        <v>352</v>
      </c>
      <c r="K301" s="16"/>
      <c r="L301" s="16"/>
      <c r="M301" s="14"/>
      <c r="N301" s="13" t="s">
        <v>778</v>
      </c>
      <c r="O301" s="13" t="s">
        <v>1295</v>
      </c>
    </row>
    <row r="302" customFormat="false" ht="15" hidden="false" customHeight="false" outlineLevel="0" collapsed="false">
      <c r="A302" s="13" t="s">
        <v>2384</v>
      </c>
      <c r="B302" s="13" t="s">
        <v>1903</v>
      </c>
      <c r="C302" s="14" t="s">
        <v>1324</v>
      </c>
      <c r="D302" s="14"/>
      <c r="E302" s="14" t="s">
        <v>2385</v>
      </c>
      <c r="F302" s="16" t="s">
        <v>2386</v>
      </c>
      <c r="G302" s="16"/>
      <c r="H302" s="14" t="n">
        <v>4</v>
      </c>
      <c r="I302" s="14"/>
      <c r="J302" s="14" t="s">
        <v>396</v>
      </c>
      <c r="K302" s="16"/>
      <c r="L302" s="16"/>
      <c r="M302" s="14"/>
      <c r="N302" s="13" t="s">
        <v>778</v>
      </c>
      <c r="O302" s="13" t="s">
        <v>1295</v>
      </c>
    </row>
    <row r="303" customFormat="false" ht="15" hidden="false" customHeight="false" outlineLevel="0" collapsed="false">
      <c r="A303" s="13" t="s">
        <v>2387</v>
      </c>
      <c r="B303" s="13" t="s">
        <v>1903</v>
      </c>
      <c r="C303" s="14" t="s">
        <v>1289</v>
      </c>
      <c r="D303" s="14"/>
      <c r="E303" s="14" t="s">
        <v>2388</v>
      </c>
      <c r="F303" s="16" t="s">
        <v>2389</v>
      </c>
      <c r="G303" s="16"/>
      <c r="H303" s="14" t="n">
        <v>5</v>
      </c>
      <c r="I303" s="14"/>
      <c r="J303" s="14" t="s">
        <v>352</v>
      </c>
      <c r="K303" s="16"/>
      <c r="L303" s="16"/>
      <c r="M303" s="14" t="s">
        <v>352</v>
      </c>
      <c r="N303" s="13" t="s">
        <v>778</v>
      </c>
      <c r="O303" s="13" t="s">
        <v>1295</v>
      </c>
    </row>
    <row r="304" customFormat="false" ht="15" hidden="false" customHeight="false" outlineLevel="0" collapsed="false">
      <c r="A304" s="13" t="s">
        <v>2390</v>
      </c>
      <c r="B304" s="13" t="s">
        <v>1903</v>
      </c>
      <c r="C304" s="14" t="s">
        <v>847</v>
      </c>
      <c r="D304" s="14"/>
      <c r="E304" s="14" t="s">
        <v>2391</v>
      </c>
      <c r="F304" s="16" t="s">
        <v>2392</v>
      </c>
      <c r="G304" s="16"/>
      <c r="H304" s="14" t="n">
        <v>6</v>
      </c>
      <c r="I304" s="14" t="n">
        <v>2</v>
      </c>
      <c r="J304" s="14" t="s">
        <v>396</v>
      </c>
      <c r="K304" s="16"/>
      <c r="L304" s="16"/>
      <c r="M304" s="14"/>
      <c r="N304" s="13" t="s">
        <v>778</v>
      </c>
      <c r="O304" s="13" t="s">
        <v>1295</v>
      </c>
    </row>
    <row r="305" customFormat="false" ht="15" hidden="false" customHeight="false" outlineLevel="0" collapsed="false">
      <c r="A305" s="13" t="s">
        <v>2393</v>
      </c>
      <c r="B305" s="13" t="s">
        <v>1903</v>
      </c>
      <c r="C305" s="14" t="s">
        <v>1310</v>
      </c>
      <c r="D305" s="14"/>
      <c r="E305" s="14" t="s">
        <v>2394</v>
      </c>
      <c r="F305" s="16" t="s">
        <v>2395</v>
      </c>
      <c r="G305" s="16"/>
      <c r="H305" s="14" t="n">
        <v>5</v>
      </c>
      <c r="I305" s="14"/>
      <c r="J305" s="14" t="s">
        <v>352</v>
      </c>
      <c r="K305" s="16"/>
      <c r="L305" s="16"/>
      <c r="M305" s="14"/>
      <c r="N305" s="13" t="s">
        <v>778</v>
      </c>
      <c r="O305" s="13" t="s">
        <v>1295</v>
      </c>
    </row>
    <row r="306" customFormat="false" ht="15" hidden="false" customHeight="false" outlineLevel="0" collapsed="false">
      <c r="A306" s="13" t="s">
        <v>2396</v>
      </c>
      <c r="B306" s="13" t="s">
        <v>1903</v>
      </c>
      <c r="C306" s="14" t="s">
        <v>1289</v>
      </c>
      <c r="D306" s="14"/>
      <c r="E306" s="14" t="s">
        <v>2397</v>
      </c>
      <c r="F306" s="16" t="s">
        <v>2398</v>
      </c>
      <c r="G306" s="16"/>
      <c r="H306" s="14" t="n">
        <v>6</v>
      </c>
      <c r="I306" s="14"/>
      <c r="J306" s="14" t="s">
        <v>352</v>
      </c>
      <c r="K306" s="16"/>
      <c r="L306" s="16"/>
      <c r="M306" s="14"/>
      <c r="N306" s="13" t="s">
        <v>778</v>
      </c>
      <c r="O306" s="13" t="s">
        <v>1295</v>
      </c>
    </row>
    <row r="307" customFormat="false" ht="15" hidden="false" customHeight="false" outlineLevel="0" collapsed="false">
      <c r="A307" s="13" t="s">
        <v>2399</v>
      </c>
      <c r="B307" s="13" t="s">
        <v>1288</v>
      </c>
      <c r="C307" s="14" t="s">
        <v>1301</v>
      </c>
      <c r="D307" s="14" t="s">
        <v>1357</v>
      </c>
      <c r="E307" s="14" t="s">
        <v>2400</v>
      </c>
      <c r="F307" s="16" t="s">
        <v>2401</v>
      </c>
      <c r="G307" s="16" t="s">
        <v>2402</v>
      </c>
      <c r="H307" s="14" t="n">
        <v>3</v>
      </c>
      <c r="I307" s="14"/>
      <c r="J307" s="14"/>
      <c r="K307" s="16" t="s">
        <v>1361</v>
      </c>
      <c r="L307" s="16"/>
      <c r="M307" s="14"/>
      <c r="N307" s="13" t="s">
        <v>778</v>
      </c>
      <c r="O307" s="13" t="s">
        <v>1295</v>
      </c>
    </row>
    <row r="308" customFormat="false" ht="15" hidden="false" customHeight="false" outlineLevel="0" collapsed="false">
      <c r="A308" s="13" t="s">
        <v>2403</v>
      </c>
      <c r="B308" s="13" t="s">
        <v>1288</v>
      </c>
      <c r="C308" s="14" t="s">
        <v>1301</v>
      </c>
      <c r="D308" s="14" t="s">
        <v>1290</v>
      </c>
      <c r="E308" s="14" t="s">
        <v>2404</v>
      </c>
      <c r="F308" s="16" t="s">
        <v>2405</v>
      </c>
      <c r="G308" s="16" t="s">
        <v>2406</v>
      </c>
      <c r="H308" s="14" t="n">
        <v>0</v>
      </c>
      <c r="I308" s="14"/>
      <c r="J308" s="14"/>
      <c r="K308" s="16" t="s">
        <v>1294</v>
      </c>
      <c r="L308" s="16"/>
      <c r="M308" s="14"/>
      <c r="N308" s="13" t="s">
        <v>778</v>
      </c>
      <c r="O308" s="13" t="s">
        <v>1295</v>
      </c>
    </row>
    <row r="309" customFormat="false" ht="15" hidden="false" customHeight="false" outlineLevel="0" collapsed="false">
      <c r="A309" s="13" t="s">
        <v>2407</v>
      </c>
      <c r="B309" s="13" t="s">
        <v>1288</v>
      </c>
      <c r="C309" s="14" t="s">
        <v>1301</v>
      </c>
      <c r="D309" s="14" t="s">
        <v>1419</v>
      </c>
      <c r="E309" s="14" t="s">
        <v>2408</v>
      </c>
      <c r="F309" s="16" t="s">
        <v>2409</v>
      </c>
      <c r="G309" s="16" t="s">
        <v>2410</v>
      </c>
      <c r="H309" s="14" t="n">
        <v>4</v>
      </c>
      <c r="I309" s="14"/>
      <c r="J309" s="14"/>
      <c r="K309" s="16" t="s">
        <v>1423</v>
      </c>
      <c r="L309" s="16"/>
      <c r="M309" s="14"/>
      <c r="N309" s="13" t="s">
        <v>778</v>
      </c>
      <c r="O309" s="13" t="s">
        <v>1295</v>
      </c>
    </row>
    <row r="310" customFormat="false" ht="15" hidden="false" customHeight="false" outlineLevel="0" collapsed="false">
      <c r="A310" s="13" t="s">
        <v>2411</v>
      </c>
      <c r="B310" s="13" t="s">
        <v>1288</v>
      </c>
      <c r="C310" s="14" t="s">
        <v>1301</v>
      </c>
      <c r="D310" s="14" t="s">
        <v>1469</v>
      </c>
      <c r="E310" s="14" t="s">
        <v>2412</v>
      </c>
      <c r="F310" s="16" t="s">
        <v>2413</v>
      </c>
      <c r="G310" s="16" t="s">
        <v>2414</v>
      </c>
      <c r="H310" s="14" t="n">
        <v>6</v>
      </c>
      <c r="I310" s="14"/>
      <c r="J310" s="14"/>
      <c r="K310" s="16" t="s">
        <v>1473</v>
      </c>
      <c r="L310" s="16"/>
      <c r="M310" s="14"/>
      <c r="N310" s="13" t="s">
        <v>778</v>
      </c>
      <c r="O310" s="13" t="s">
        <v>1295</v>
      </c>
    </row>
    <row r="311" customFormat="false" ht="15" hidden="false" customHeight="false" outlineLevel="0" collapsed="false">
      <c r="A311" s="13" t="s">
        <v>2415</v>
      </c>
      <c r="B311" s="13" t="s">
        <v>1288</v>
      </c>
      <c r="C311" s="14" t="s">
        <v>1301</v>
      </c>
      <c r="D311" s="14" t="s">
        <v>1357</v>
      </c>
      <c r="E311" s="14" t="s">
        <v>2416</v>
      </c>
      <c r="F311" s="16" t="s">
        <v>2417</v>
      </c>
      <c r="G311" s="16" t="s">
        <v>2418</v>
      </c>
      <c r="H311" s="14" t="n">
        <v>5</v>
      </c>
      <c r="I311" s="14"/>
      <c r="J311" s="14"/>
      <c r="K311" s="16" t="s">
        <v>1361</v>
      </c>
      <c r="L311" s="16"/>
      <c r="M311" s="14"/>
      <c r="N311" s="13" t="s">
        <v>778</v>
      </c>
      <c r="O311" s="13" t="s">
        <v>1295</v>
      </c>
    </row>
    <row r="312" customFormat="false" ht="15" hidden="false" customHeight="false" outlineLevel="0" collapsed="false">
      <c r="A312" s="13" t="s">
        <v>2419</v>
      </c>
      <c r="B312" s="13" t="s">
        <v>1288</v>
      </c>
      <c r="C312" s="14" t="s">
        <v>1301</v>
      </c>
      <c r="D312" s="14" t="s">
        <v>1290</v>
      </c>
      <c r="E312" s="14" t="s">
        <v>2420</v>
      </c>
      <c r="F312" s="16" t="s">
        <v>2421</v>
      </c>
      <c r="G312" s="16" t="s">
        <v>2422</v>
      </c>
      <c r="H312" s="14" t="n">
        <v>7</v>
      </c>
      <c r="I312" s="14"/>
      <c r="J312" s="14"/>
      <c r="K312" s="16" t="s">
        <v>1294</v>
      </c>
      <c r="L312" s="16"/>
      <c r="M312" s="14"/>
      <c r="N312" s="13" t="s">
        <v>778</v>
      </c>
      <c r="O312" s="13" t="s">
        <v>1295</v>
      </c>
    </row>
    <row r="313" customFormat="false" ht="15" hidden="false" customHeight="false" outlineLevel="0" collapsed="false">
      <c r="A313" s="13" t="s">
        <v>2423</v>
      </c>
      <c r="B313" s="13" t="s">
        <v>1288</v>
      </c>
      <c r="C313" s="14" t="s">
        <v>1301</v>
      </c>
      <c r="D313" s="14" t="s">
        <v>1357</v>
      </c>
      <c r="E313" s="14" t="s">
        <v>2424</v>
      </c>
      <c r="F313" s="16" t="s">
        <v>2425</v>
      </c>
      <c r="G313" s="16" t="s">
        <v>2426</v>
      </c>
      <c r="H313" s="14" t="n">
        <v>3</v>
      </c>
      <c r="I313" s="14"/>
      <c r="J313" s="14"/>
      <c r="K313" s="16" t="s">
        <v>1361</v>
      </c>
      <c r="L313" s="16"/>
      <c r="M313" s="14"/>
      <c r="N313" s="13" t="s">
        <v>778</v>
      </c>
      <c r="O313" s="13" t="s">
        <v>1295</v>
      </c>
    </row>
    <row r="314" customFormat="false" ht="15" hidden="false" customHeight="false" outlineLevel="0" collapsed="false">
      <c r="A314" s="13" t="s">
        <v>2427</v>
      </c>
      <c r="B314" s="13" t="s">
        <v>1288</v>
      </c>
      <c r="C314" s="14" t="s">
        <v>1301</v>
      </c>
      <c r="D314" s="14" t="s">
        <v>1419</v>
      </c>
      <c r="E314" s="14" t="s">
        <v>2428</v>
      </c>
      <c r="F314" s="16" t="s">
        <v>2429</v>
      </c>
      <c r="G314" s="16" t="s">
        <v>2430</v>
      </c>
      <c r="H314" s="14" t="n">
        <v>2</v>
      </c>
      <c r="I314" s="14"/>
      <c r="J314" s="14"/>
      <c r="K314" s="16" t="s">
        <v>1423</v>
      </c>
      <c r="L314" s="16"/>
      <c r="M314" s="14"/>
      <c r="N314" s="13" t="s">
        <v>778</v>
      </c>
      <c r="O314" s="13" t="s">
        <v>1295</v>
      </c>
    </row>
    <row r="315" customFormat="false" ht="15" hidden="false" customHeight="false" outlineLevel="0" collapsed="false">
      <c r="A315" s="13" t="s">
        <v>2431</v>
      </c>
      <c r="B315" s="13" t="s">
        <v>1288</v>
      </c>
      <c r="C315" s="14" t="s">
        <v>1301</v>
      </c>
      <c r="D315" s="14" t="s">
        <v>1469</v>
      </c>
      <c r="E315" s="14" t="s">
        <v>2432</v>
      </c>
      <c r="F315" s="16" t="s">
        <v>2433</v>
      </c>
      <c r="G315" s="16" t="s">
        <v>2434</v>
      </c>
      <c r="H315" s="14" t="n">
        <v>25</v>
      </c>
      <c r="I315" s="14"/>
      <c r="J315" s="14"/>
      <c r="K315" s="16" t="s">
        <v>1473</v>
      </c>
      <c r="L315" s="16"/>
      <c r="M315" s="14"/>
      <c r="N315" s="13" t="s">
        <v>778</v>
      </c>
      <c r="O315" s="13" t="s">
        <v>1295</v>
      </c>
    </row>
    <row r="316" customFormat="false" ht="15" hidden="false" customHeight="false" outlineLevel="0" collapsed="false">
      <c r="A316" s="13" t="s">
        <v>2435</v>
      </c>
      <c r="B316" s="13" t="s">
        <v>1288</v>
      </c>
      <c r="C316" s="14" t="s">
        <v>1301</v>
      </c>
      <c r="D316" s="14" t="s">
        <v>1290</v>
      </c>
      <c r="E316" s="14" t="s">
        <v>2436</v>
      </c>
      <c r="F316" s="16" t="s">
        <v>2437</v>
      </c>
      <c r="G316" s="16" t="s">
        <v>2438</v>
      </c>
      <c r="H316" s="14" t="n">
        <v>0</v>
      </c>
      <c r="I316" s="14"/>
      <c r="J316" s="14"/>
      <c r="K316" s="16" t="s">
        <v>1294</v>
      </c>
      <c r="L316" s="16"/>
      <c r="M316" s="14"/>
      <c r="N316" s="13" t="s">
        <v>778</v>
      </c>
      <c r="O316" s="13" t="s">
        <v>1295</v>
      </c>
    </row>
    <row r="317" customFormat="false" ht="15" hidden="false" customHeight="false" outlineLevel="0" collapsed="false">
      <c r="A317" s="13" t="s">
        <v>2439</v>
      </c>
      <c r="B317" s="13" t="s">
        <v>1288</v>
      </c>
      <c r="C317" s="14" t="s">
        <v>1301</v>
      </c>
      <c r="D317" s="14" t="s">
        <v>1357</v>
      </c>
      <c r="E317" s="14" t="s">
        <v>2440</v>
      </c>
      <c r="F317" s="16" t="s">
        <v>2441</v>
      </c>
      <c r="G317" s="16" t="s">
        <v>2442</v>
      </c>
      <c r="H317" s="14" t="n">
        <v>2</v>
      </c>
      <c r="I317" s="14"/>
      <c r="J317" s="14"/>
      <c r="K317" s="16" t="s">
        <v>1361</v>
      </c>
      <c r="L317" s="16"/>
      <c r="M317" s="14"/>
      <c r="N317" s="13" t="s">
        <v>778</v>
      </c>
      <c r="O317" s="13" t="s">
        <v>1295</v>
      </c>
    </row>
    <row r="318" customFormat="false" ht="72.35" hidden="false" customHeight="false" outlineLevel="0" collapsed="false">
      <c r="A318" s="13" t="s">
        <v>2443</v>
      </c>
      <c r="B318" s="13" t="s">
        <v>940</v>
      </c>
      <c r="C318" s="14" t="s">
        <v>1301</v>
      </c>
      <c r="D318" s="14" t="s">
        <v>1357</v>
      </c>
      <c r="E318" s="14" t="s">
        <v>2444</v>
      </c>
      <c r="F318" s="16" t="s">
        <v>2445</v>
      </c>
      <c r="G318" s="16" t="s">
        <v>2446</v>
      </c>
      <c r="H318" s="14"/>
      <c r="I318" s="14"/>
      <c r="J318" s="14"/>
      <c r="K318" s="16"/>
      <c r="L318" s="15" t="s">
        <v>2447</v>
      </c>
      <c r="M318" s="14"/>
      <c r="N318" s="13" t="s">
        <v>778</v>
      </c>
      <c r="O318" s="13" t="s">
        <v>1295</v>
      </c>
    </row>
    <row r="319" customFormat="false" ht="86.55" hidden="false" customHeight="false" outlineLevel="0" collapsed="false">
      <c r="A319" s="13" t="s">
        <v>2448</v>
      </c>
      <c r="B319" s="13" t="s">
        <v>940</v>
      </c>
      <c r="C319" s="14" t="s">
        <v>1301</v>
      </c>
      <c r="D319" s="14" t="s">
        <v>1290</v>
      </c>
      <c r="E319" s="14" t="s">
        <v>2449</v>
      </c>
      <c r="F319" s="16" t="s">
        <v>2450</v>
      </c>
      <c r="G319" s="16" t="s">
        <v>2451</v>
      </c>
      <c r="H319" s="14"/>
      <c r="I319" s="14"/>
      <c r="J319" s="14"/>
      <c r="K319" s="16"/>
      <c r="L319" s="15" t="s">
        <v>2452</v>
      </c>
      <c r="M319" s="14"/>
      <c r="N319" s="13" t="s">
        <v>778</v>
      </c>
      <c r="O319" s="13" t="s">
        <v>1295</v>
      </c>
    </row>
    <row r="320" customFormat="false" ht="72.35" hidden="false" customHeight="false" outlineLevel="0" collapsed="false">
      <c r="A320" s="13" t="s">
        <v>2453</v>
      </c>
      <c r="B320" s="13" t="s">
        <v>940</v>
      </c>
      <c r="C320" s="14" t="s">
        <v>1301</v>
      </c>
      <c r="D320" s="14" t="s">
        <v>1357</v>
      </c>
      <c r="E320" s="14" t="s">
        <v>2454</v>
      </c>
      <c r="F320" s="16" t="s">
        <v>2455</v>
      </c>
      <c r="G320" s="16" t="s">
        <v>2456</v>
      </c>
      <c r="H320" s="14"/>
      <c r="I320" s="14"/>
      <c r="J320" s="14"/>
      <c r="K320" s="16"/>
      <c r="L320" s="15" t="s">
        <v>2457</v>
      </c>
      <c r="M320" s="14"/>
      <c r="N320" s="13" t="s">
        <v>778</v>
      </c>
      <c r="O320" s="13" t="s">
        <v>1295</v>
      </c>
    </row>
    <row r="321" customFormat="false" ht="72.35" hidden="false" customHeight="false" outlineLevel="0" collapsed="false">
      <c r="A321" s="13" t="s">
        <v>2458</v>
      </c>
      <c r="B321" s="13" t="s">
        <v>940</v>
      </c>
      <c r="C321" s="14" t="s">
        <v>1301</v>
      </c>
      <c r="D321" s="14" t="s">
        <v>1290</v>
      </c>
      <c r="E321" s="14" t="s">
        <v>2459</v>
      </c>
      <c r="F321" s="16" t="s">
        <v>2460</v>
      </c>
      <c r="G321" s="16" t="s">
        <v>2461</v>
      </c>
      <c r="H321" s="14"/>
      <c r="I321" s="14"/>
      <c r="J321" s="14"/>
      <c r="K321" s="16"/>
      <c r="L321" s="15" t="s">
        <v>2462</v>
      </c>
      <c r="M321" s="14"/>
      <c r="N321" s="13" t="s">
        <v>778</v>
      </c>
      <c r="O321" s="13" t="s">
        <v>1295</v>
      </c>
    </row>
    <row r="322" customFormat="false" ht="86.55" hidden="false" customHeight="false" outlineLevel="0" collapsed="false">
      <c r="A322" s="13" t="s">
        <v>2463</v>
      </c>
      <c r="B322" s="13" t="s">
        <v>940</v>
      </c>
      <c r="C322" s="14" t="s">
        <v>1301</v>
      </c>
      <c r="D322" s="14" t="s">
        <v>1419</v>
      </c>
      <c r="E322" s="14" t="s">
        <v>2464</v>
      </c>
      <c r="F322" s="16" t="s">
        <v>2465</v>
      </c>
      <c r="G322" s="16" t="s">
        <v>2466</v>
      </c>
      <c r="H322" s="14"/>
      <c r="I322" s="14"/>
      <c r="J322" s="14"/>
      <c r="K322" s="16"/>
      <c r="L322" s="15" t="s">
        <v>2467</v>
      </c>
      <c r="M322" s="14"/>
      <c r="N322" s="13" t="s">
        <v>778</v>
      </c>
      <c r="O322" s="13" t="s">
        <v>1295</v>
      </c>
    </row>
    <row r="323" customFormat="false" ht="86.55" hidden="false" customHeight="false" outlineLevel="0" collapsed="false">
      <c r="A323" s="13" t="s">
        <v>2468</v>
      </c>
      <c r="B323" s="13" t="s">
        <v>940</v>
      </c>
      <c r="C323" s="14" t="s">
        <v>1301</v>
      </c>
      <c r="D323" s="14" t="s">
        <v>1469</v>
      </c>
      <c r="E323" s="14" t="s">
        <v>2469</v>
      </c>
      <c r="F323" s="16" t="s">
        <v>2470</v>
      </c>
      <c r="G323" s="16" t="s">
        <v>2471</v>
      </c>
      <c r="H323" s="14"/>
      <c r="I323" s="14"/>
      <c r="J323" s="14"/>
      <c r="K323" s="16"/>
      <c r="L323" s="15" t="s">
        <v>2472</v>
      </c>
      <c r="M323" s="14"/>
      <c r="N323" s="13" t="s">
        <v>778</v>
      </c>
      <c r="O323" s="13" t="s">
        <v>1295</v>
      </c>
    </row>
    <row r="324" customFormat="false" ht="15" hidden="false" customHeight="false" outlineLevel="0" collapsed="false">
      <c r="A324" s="13" t="s">
        <v>2473</v>
      </c>
      <c r="B324" s="13" t="s">
        <v>1903</v>
      </c>
      <c r="C324" s="14" t="s">
        <v>1301</v>
      </c>
      <c r="D324" s="14"/>
      <c r="E324" s="14" t="s">
        <v>2474</v>
      </c>
      <c r="F324" s="16" t="s">
        <v>2475</v>
      </c>
      <c r="G324" s="16"/>
      <c r="H324" s="14" t="n">
        <v>8</v>
      </c>
      <c r="I324" s="14"/>
      <c r="J324" s="14" t="s">
        <v>352</v>
      </c>
      <c r="K324" s="16"/>
      <c r="L324" s="16"/>
      <c r="M324" s="14"/>
      <c r="N324" s="13" t="s">
        <v>778</v>
      </c>
      <c r="O324" s="13" t="s">
        <v>1295</v>
      </c>
    </row>
    <row r="325" customFormat="false" ht="15" hidden="false" customHeight="false" outlineLevel="0" collapsed="false">
      <c r="A325" s="13" t="s">
        <v>2476</v>
      </c>
      <c r="B325" s="13" t="s">
        <v>1903</v>
      </c>
      <c r="C325" s="14" t="s">
        <v>1301</v>
      </c>
      <c r="D325" s="14"/>
      <c r="E325" s="14" t="s">
        <v>2477</v>
      </c>
      <c r="F325" s="16" t="s">
        <v>2478</v>
      </c>
      <c r="G325" s="16"/>
      <c r="H325" s="14" t="n">
        <v>6</v>
      </c>
      <c r="I325" s="14"/>
      <c r="J325" s="14" t="s">
        <v>396</v>
      </c>
      <c r="K325" s="16"/>
      <c r="L325" s="16"/>
      <c r="M325" s="14"/>
      <c r="N325" s="13" t="s">
        <v>778</v>
      </c>
      <c r="O325" s="13" t="s">
        <v>1295</v>
      </c>
    </row>
    <row r="326" customFormat="false" ht="15" hidden="false" customHeight="false" outlineLevel="0" collapsed="false">
      <c r="A326" s="13" t="s">
        <v>2479</v>
      </c>
      <c r="B326" s="13" t="s">
        <v>1903</v>
      </c>
      <c r="C326" s="14" t="s">
        <v>1301</v>
      </c>
      <c r="D326" s="14"/>
      <c r="E326" s="14" t="s">
        <v>2480</v>
      </c>
      <c r="F326" s="16" t="s">
        <v>2481</v>
      </c>
      <c r="G326" s="16"/>
      <c r="H326" s="14" t="n">
        <v>12</v>
      </c>
      <c r="I326" s="14"/>
      <c r="J326" s="14" t="s">
        <v>352</v>
      </c>
      <c r="K326" s="16"/>
      <c r="L326" s="16"/>
      <c r="M326" s="14"/>
      <c r="N326" s="13" t="s">
        <v>778</v>
      </c>
      <c r="O326" s="13" t="s">
        <v>1295</v>
      </c>
    </row>
    <row r="327" customFormat="false" ht="15" hidden="false" customHeight="false" outlineLevel="0" collapsed="false">
      <c r="A327" s="13" t="s">
        <v>2482</v>
      </c>
      <c r="B327" s="13" t="s">
        <v>1903</v>
      </c>
      <c r="C327" s="14" t="s">
        <v>1301</v>
      </c>
      <c r="D327" s="14"/>
      <c r="E327" s="14" t="s">
        <v>2483</v>
      </c>
      <c r="F327" s="16" t="s">
        <v>2484</v>
      </c>
      <c r="G327" s="16"/>
      <c r="H327" s="14" t="n">
        <v>9</v>
      </c>
      <c r="I327" s="14"/>
      <c r="J327" s="14" t="s">
        <v>396</v>
      </c>
      <c r="K327" s="16"/>
      <c r="L327" s="16"/>
      <c r="M327" s="14"/>
      <c r="N327" s="13" t="s">
        <v>778</v>
      </c>
      <c r="O327" s="13" t="s">
        <v>1295</v>
      </c>
    </row>
    <row r="328" customFormat="false" ht="15" hidden="false" customHeight="false" outlineLevel="0" collapsed="false">
      <c r="A328" s="13" t="s">
        <v>2485</v>
      </c>
      <c r="B328" s="13" t="s">
        <v>1903</v>
      </c>
      <c r="C328" s="14" t="s">
        <v>1301</v>
      </c>
      <c r="D328" s="14"/>
      <c r="E328" s="14" t="s">
        <v>2486</v>
      </c>
      <c r="F328" s="16" t="s">
        <v>2487</v>
      </c>
      <c r="G328" s="16"/>
      <c r="H328" s="14" t="n">
        <v>7</v>
      </c>
      <c r="I328" s="14"/>
      <c r="J328" s="14" t="s">
        <v>352</v>
      </c>
      <c r="K328" s="16"/>
      <c r="L328" s="16"/>
      <c r="M328" s="14"/>
      <c r="N328" s="13" t="s">
        <v>778</v>
      </c>
      <c r="O328" s="13" t="s">
        <v>1295</v>
      </c>
    </row>
    <row r="329" customFormat="false" ht="15" hidden="false" customHeight="false" outlineLevel="0" collapsed="false">
      <c r="A329" s="13" t="s">
        <v>2488</v>
      </c>
      <c r="B329" s="13" t="s">
        <v>1903</v>
      </c>
      <c r="C329" s="14" t="s">
        <v>1301</v>
      </c>
      <c r="D329" s="14"/>
      <c r="E329" s="14" t="s">
        <v>2489</v>
      </c>
      <c r="F329" s="16" t="s">
        <v>2490</v>
      </c>
      <c r="G329" s="16"/>
      <c r="H329" s="14" t="n">
        <v>4</v>
      </c>
      <c r="I329" s="14"/>
      <c r="J329" s="14" t="s">
        <v>396</v>
      </c>
      <c r="K329" s="16"/>
      <c r="L329" s="16"/>
      <c r="M329" s="14"/>
      <c r="N329" s="13" t="s">
        <v>778</v>
      </c>
      <c r="O329" s="13" t="s">
        <v>1295</v>
      </c>
    </row>
    <row r="330" customFormat="false" ht="15" hidden="false" customHeight="false" outlineLevel="0" collapsed="false">
      <c r="A330" s="13" t="s">
        <v>2491</v>
      </c>
      <c r="B330" s="13" t="s">
        <v>1903</v>
      </c>
      <c r="C330" s="14" t="s">
        <v>1301</v>
      </c>
      <c r="D330" s="14"/>
      <c r="E330" s="14" t="s">
        <v>2492</v>
      </c>
      <c r="F330" s="16" t="s">
        <v>2493</v>
      </c>
      <c r="G330" s="16"/>
      <c r="H330" s="14" t="n">
        <v>2</v>
      </c>
      <c r="I330" s="14"/>
      <c r="J330" s="14" t="s">
        <v>396</v>
      </c>
      <c r="K330" s="16"/>
      <c r="L330" s="16"/>
      <c r="M330" s="14"/>
      <c r="N330" s="13" t="s">
        <v>778</v>
      </c>
      <c r="O330" s="13" t="s">
        <v>1295</v>
      </c>
    </row>
  </sheetData>
  <autoFilter ref="A4:O3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8" min="5" style="0" width="8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4" min="11" style="0" width="7"/>
    <col collapsed="false" customWidth="true" hidden="false" outlineLevel="0" max="15" min="15" style="0" width="6"/>
    <col collapsed="false" customWidth="true" hidden="false" outlineLevel="0" max="16" min="16" style="0" width="8"/>
    <col collapsed="false" customWidth="true" hidden="false" outlineLevel="0" max="17" min="17" style="0" width="6"/>
    <col collapsed="false" customWidth="true" hidden="false" outlineLevel="0" max="18" min="18" style="0" width="8"/>
    <col collapsed="false" customWidth="true" hidden="false" outlineLevel="0" max="20" min="19" style="0" width="30"/>
    <col collapsed="false" customWidth="true" hidden="false" outlineLevel="0" max="21" min="21" style="0" width="36"/>
    <col collapsed="false" customWidth="true" hidden="false" outlineLevel="0" max="22" min="22" style="0" width="16"/>
    <col collapsed="false" customWidth="true" hidden="false" outlineLevel="0" max="23" min="23" style="0" width="30"/>
    <col collapsed="false" customWidth="true" hidden="false" outlineLevel="0" max="24" min="24" style="0" width="40"/>
    <col collapsed="false" customWidth="true" hidden="false" outlineLevel="0" max="25" min="25" style="0" width="44"/>
    <col collapsed="false" customWidth="true" hidden="false" outlineLevel="0" max="26" min="26" style="0" width="14"/>
    <col collapsed="false" customWidth="true" hidden="false" outlineLevel="0" max="27" min="27" style="0" width="8"/>
    <col collapsed="false" customWidth="true" hidden="false" outlineLevel="0" max="28" min="28" style="0" width="10"/>
  </cols>
  <sheetData>
    <row r="1" customFormat="false" ht="19.4" hidden="false" customHeight="false" outlineLevel="0" collapsed="false">
      <c r="A1" s="9" t="s">
        <v>2494</v>
      </c>
    </row>
    <row r="2" customFormat="false" ht="15" hidden="false" customHeight="false" outlineLevel="0" collapsed="false">
      <c r="A2" s="10" t="s">
        <v>2495</v>
      </c>
    </row>
    <row r="4" customFormat="false" ht="30" hidden="false" customHeight="true" outlineLevel="0" collapsed="false">
      <c r="A4" s="11" t="s">
        <v>70</v>
      </c>
      <c r="B4" s="12" t="s">
        <v>346</v>
      </c>
      <c r="C4" s="12" t="s">
        <v>2496</v>
      </c>
      <c r="D4" s="12" t="s">
        <v>2497</v>
      </c>
      <c r="E4" s="12" t="s">
        <v>993</v>
      </c>
      <c r="F4" s="12" t="s">
        <v>2498</v>
      </c>
      <c r="G4" s="12" t="s">
        <v>2499</v>
      </c>
      <c r="H4" s="12" t="s">
        <v>994</v>
      </c>
      <c r="I4" s="12" t="s">
        <v>657</v>
      </c>
      <c r="J4" s="12" t="s">
        <v>2500</v>
      </c>
      <c r="K4" s="12" t="s">
        <v>2501</v>
      </c>
      <c r="L4" s="12" t="s">
        <v>661</v>
      </c>
      <c r="M4" s="12" t="s">
        <v>2502</v>
      </c>
      <c r="N4" s="12" t="s">
        <v>2503</v>
      </c>
      <c r="O4" s="12" t="s">
        <v>2504</v>
      </c>
      <c r="P4" s="12" t="s">
        <v>1285</v>
      </c>
      <c r="Q4" s="12" t="s">
        <v>2505</v>
      </c>
      <c r="R4" s="12" t="s">
        <v>2506</v>
      </c>
      <c r="S4" s="12" t="s">
        <v>2507</v>
      </c>
      <c r="T4" s="12" t="s">
        <v>2508</v>
      </c>
      <c r="U4" s="12" t="s">
        <v>2509</v>
      </c>
      <c r="V4" s="12" t="s">
        <v>2510</v>
      </c>
      <c r="W4" s="12" t="s">
        <v>82</v>
      </c>
      <c r="X4" s="12" t="s">
        <v>196</v>
      </c>
      <c r="Y4" s="12" t="s">
        <v>280</v>
      </c>
      <c r="Z4" s="12" t="s">
        <v>198</v>
      </c>
      <c r="AA4" s="12" t="s">
        <v>281</v>
      </c>
      <c r="AB4" s="12" t="s">
        <v>83</v>
      </c>
    </row>
    <row r="5" customFormat="false" ht="29.85" hidden="false" customHeight="false" outlineLevel="0" collapsed="false">
      <c r="A5" s="13" t="s">
        <v>2511</v>
      </c>
      <c r="B5" s="14" t="s">
        <v>2512</v>
      </c>
      <c r="C5" s="13" t="s">
        <v>2513</v>
      </c>
      <c r="D5" s="14" t="s">
        <v>2514</v>
      </c>
      <c r="E5" s="14" t="n">
        <v>40</v>
      </c>
      <c r="F5" s="14"/>
      <c r="G5" s="14"/>
      <c r="H5" s="14"/>
      <c r="I5" s="14" t="n">
        <v>1</v>
      </c>
      <c r="J5" s="14"/>
      <c r="K5" s="14"/>
      <c r="L5" s="14"/>
      <c r="M5" s="14"/>
      <c r="N5" s="14"/>
      <c r="O5" s="14"/>
      <c r="P5" s="14"/>
      <c r="Q5" s="14"/>
      <c r="R5" s="14" t="n">
        <v>0.45</v>
      </c>
      <c r="S5" s="15" t="s">
        <v>2515</v>
      </c>
      <c r="T5" s="16" t="s">
        <v>2516</v>
      </c>
      <c r="U5" s="16"/>
      <c r="V5" s="14"/>
      <c r="W5" s="16"/>
      <c r="X5" s="16" t="s">
        <v>2517</v>
      </c>
      <c r="Y5" s="16" t="s">
        <v>2518</v>
      </c>
      <c r="Z5" s="13" t="s">
        <v>678</v>
      </c>
      <c r="AA5" s="14"/>
      <c r="AB5" s="13" t="s">
        <v>2519</v>
      </c>
    </row>
    <row r="6" customFormat="false" ht="29.85" hidden="false" customHeight="false" outlineLevel="0" collapsed="false">
      <c r="A6" s="13" t="s">
        <v>2520</v>
      </c>
      <c r="B6" s="14" t="s">
        <v>2512</v>
      </c>
      <c r="C6" s="13" t="s">
        <v>2521</v>
      </c>
      <c r="D6" s="14" t="s">
        <v>2522</v>
      </c>
      <c r="E6" s="14" t="n">
        <v>120</v>
      </c>
      <c r="F6" s="14"/>
      <c r="G6" s="14"/>
      <c r="H6" s="14"/>
      <c r="I6" s="14" t="n">
        <v>1</v>
      </c>
      <c r="J6" s="14"/>
      <c r="K6" s="14"/>
      <c r="L6" s="14"/>
      <c r="M6" s="14"/>
      <c r="N6" s="14"/>
      <c r="O6" s="14"/>
      <c r="P6" s="14"/>
      <c r="Q6" s="14" t="n">
        <v>1</v>
      </c>
      <c r="R6" s="14" t="n">
        <v>0.55</v>
      </c>
      <c r="S6" s="15" t="s">
        <v>2523</v>
      </c>
      <c r="T6" s="16" t="s">
        <v>2524</v>
      </c>
      <c r="U6" s="16"/>
      <c r="V6" s="14"/>
      <c r="W6" s="16"/>
      <c r="X6" s="16" t="s">
        <v>2525</v>
      </c>
      <c r="Y6" s="16" t="s">
        <v>2526</v>
      </c>
      <c r="Z6" s="13" t="s">
        <v>678</v>
      </c>
      <c r="AA6" s="14"/>
      <c r="AB6" s="13" t="s">
        <v>2519</v>
      </c>
    </row>
    <row r="7" customFormat="false" ht="29.85" hidden="false" customHeight="false" outlineLevel="0" collapsed="false">
      <c r="A7" s="13" t="s">
        <v>2527</v>
      </c>
      <c r="B7" s="14" t="s">
        <v>2512</v>
      </c>
      <c r="C7" s="13" t="s">
        <v>2528</v>
      </c>
      <c r="D7" s="14" t="s">
        <v>2529</v>
      </c>
      <c r="E7" s="14" t="n">
        <v>60</v>
      </c>
      <c r="F7" s="14"/>
      <c r="G7" s="14"/>
      <c r="H7" s="14"/>
      <c r="I7" s="14" t="n">
        <v>1</v>
      </c>
      <c r="J7" s="14"/>
      <c r="K7" s="14"/>
      <c r="L7" s="14"/>
      <c r="M7" s="14"/>
      <c r="N7" s="14"/>
      <c r="O7" s="14"/>
      <c r="P7" s="14"/>
      <c r="Q7" s="14"/>
      <c r="R7" s="14" t="n">
        <v>0.4</v>
      </c>
      <c r="S7" s="15" t="s">
        <v>2530</v>
      </c>
      <c r="T7" s="16" t="s">
        <v>2531</v>
      </c>
      <c r="U7" s="16"/>
      <c r="V7" s="14"/>
      <c r="W7" s="16"/>
      <c r="X7" s="16" t="s">
        <v>2532</v>
      </c>
      <c r="Y7" s="16" t="s">
        <v>2533</v>
      </c>
      <c r="Z7" s="13" t="s">
        <v>678</v>
      </c>
      <c r="AA7" s="14"/>
      <c r="AB7" s="13" t="s">
        <v>2519</v>
      </c>
    </row>
    <row r="8" customFormat="false" ht="29.85" hidden="false" customHeight="false" outlineLevel="0" collapsed="false">
      <c r="A8" s="13" t="s">
        <v>2534</v>
      </c>
      <c r="B8" s="14" t="s">
        <v>2535</v>
      </c>
      <c r="C8" s="13" t="s">
        <v>2536</v>
      </c>
      <c r="D8" s="14" t="s">
        <v>2537</v>
      </c>
      <c r="E8" s="14" t="n">
        <v>12</v>
      </c>
      <c r="F8" s="14"/>
      <c r="G8" s="14"/>
      <c r="H8" s="14" t="n">
        <v>3</v>
      </c>
      <c r="I8" s="14" t="n">
        <v>2</v>
      </c>
      <c r="J8" s="14"/>
      <c r="K8" s="14" t="s">
        <v>352</v>
      </c>
      <c r="L8" s="14"/>
      <c r="M8" s="14"/>
      <c r="N8" s="14"/>
      <c r="O8" s="14"/>
      <c r="P8" s="14"/>
      <c r="Q8" s="14"/>
      <c r="R8" s="14"/>
      <c r="S8" s="16"/>
      <c r="T8" s="16"/>
      <c r="U8" s="16"/>
      <c r="V8" s="13" t="s">
        <v>2538</v>
      </c>
      <c r="W8" s="16" t="s">
        <v>2539</v>
      </c>
      <c r="X8" s="16" t="s">
        <v>2540</v>
      </c>
      <c r="Y8" s="16" t="s">
        <v>2541</v>
      </c>
      <c r="Z8" s="13" t="s">
        <v>684</v>
      </c>
      <c r="AA8" s="14"/>
      <c r="AB8" s="13" t="s">
        <v>2519</v>
      </c>
    </row>
    <row r="9" customFormat="false" ht="29.85" hidden="false" customHeight="false" outlineLevel="0" collapsed="false">
      <c r="A9" s="13" t="s">
        <v>2542</v>
      </c>
      <c r="B9" s="14" t="s">
        <v>2535</v>
      </c>
      <c r="C9" s="13" t="s">
        <v>2543</v>
      </c>
      <c r="D9" s="14" t="s">
        <v>2544</v>
      </c>
      <c r="E9" s="14" t="n">
        <v>25</v>
      </c>
      <c r="F9" s="14"/>
      <c r="G9" s="14"/>
      <c r="H9" s="14"/>
      <c r="I9" s="14" t="n">
        <v>1</v>
      </c>
      <c r="J9" s="14"/>
      <c r="K9" s="14" t="s">
        <v>352</v>
      </c>
      <c r="L9" s="14"/>
      <c r="M9" s="14"/>
      <c r="N9" s="14"/>
      <c r="O9" s="14"/>
      <c r="P9" s="14"/>
      <c r="Q9" s="14"/>
      <c r="R9" s="14"/>
      <c r="S9" s="16"/>
      <c r="T9" s="16"/>
      <c r="U9" s="16"/>
      <c r="V9" s="13" t="s">
        <v>2545</v>
      </c>
      <c r="W9" s="16" t="s">
        <v>2546</v>
      </c>
      <c r="X9" s="16" t="s">
        <v>2547</v>
      </c>
      <c r="Y9" s="16" t="s">
        <v>2548</v>
      </c>
      <c r="Z9" s="13" t="s">
        <v>684</v>
      </c>
      <c r="AA9" s="14"/>
      <c r="AB9" s="13" t="s">
        <v>2519</v>
      </c>
    </row>
    <row r="10" customFormat="false" ht="29.85" hidden="false" customHeight="false" outlineLevel="0" collapsed="false">
      <c r="A10" s="13" t="s">
        <v>2549</v>
      </c>
      <c r="B10" s="14" t="s">
        <v>2550</v>
      </c>
      <c r="C10" s="13" t="s">
        <v>2551</v>
      </c>
      <c r="D10" s="14" t="s">
        <v>2552</v>
      </c>
      <c r="E10" s="14"/>
      <c r="F10" s="14"/>
      <c r="G10" s="14"/>
      <c r="H10" s="14" t="n">
        <v>4.5</v>
      </c>
      <c r="I10" s="14" t="n">
        <v>1</v>
      </c>
      <c r="J10" s="14"/>
      <c r="K10" s="14"/>
      <c r="L10" s="14"/>
      <c r="M10" s="14" t="s">
        <v>352</v>
      </c>
      <c r="N10" s="14"/>
      <c r="O10" s="14"/>
      <c r="P10" s="14"/>
      <c r="Q10" s="14"/>
      <c r="R10" s="14"/>
      <c r="S10" s="16"/>
      <c r="T10" s="16"/>
      <c r="U10" s="16"/>
      <c r="V10" s="14"/>
      <c r="W10" s="16" t="s">
        <v>2553</v>
      </c>
      <c r="X10" s="16" t="s">
        <v>2554</v>
      </c>
      <c r="Y10" s="16" t="s">
        <v>2555</v>
      </c>
      <c r="Z10" s="13" t="s">
        <v>2556</v>
      </c>
      <c r="AA10" s="14"/>
      <c r="AB10" s="13" t="s">
        <v>2519</v>
      </c>
    </row>
    <row r="11" customFormat="false" ht="29.85" hidden="false" customHeight="false" outlineLevel="0" collapsed="false">
      <c r="A11" s="13" t="s">
        <v>2557</v>
      </c>
      <c r="B11" s="14" t="s">
        <v>2558</v>
      </c>
      <c r="C11" s="13" t="s">
        <v>2559</v>
      </c>
      <c r="D11" s="14" t="s">
        <v>2560</v>
      </c>
      <c r="E11" s="14" t="n">
        <v>12</v>
      </c>
      <c r="F11" s="14"/>
      <c r="G11" s="14"/>
      <c r="H11" s="14"/>
      <c r="I11" s="14" t="n">
        <v>1</v>
      </c>
      <c r="J11" s="14"/>
      <c r="K11" s="14"/>
      <c r="L11" s="14"/>
      <c r="M11" s="14"/>
      <c r="N11" s="14"/>
      <c r="O11" s="14"/>
      <c r="P11" s="14" t="s">
        <v>1469</v>
      </c>
      <c r="Q11" s="14"/>
      <c r="R11" s="14"/>
      <c r="S11" s="16"/>
      <c r="T11" s="16"/>
      <c r="U11" s="16"/>
      <c r="V11" s="14"/>
      <c r="W11" s="16"/>
      <c r="X11" s="16" t="s">
        <v>2561</v>
      </c>
      <c r="Y11" s="16" t="s">
        <v>2562</v>
      </c>
      <c r="Z11" s="13" t="s">
        <v>705</v>
      </c>
      <c r="AA11" s="14"/>
      <c r="AB11" s="13" t="s">
        <v>2519</v>
      </c>
    </row>
    <row r="12" customFormat="false" ht="29.85" hidden="false" customHeight="false" outlineLevel="0" collapsed="false">
      <c r="A12" s="13" t="s">
        <v>2563</v>
      </c>
      <c r="B12" s="14" t="s">
        <v>2558</v>
      </c>
      <c r="C12" s="13" t="s">
        <v>2564</v>
      </c>
      <c r="D12" s="14" t="s">
        <v>2565</v>
      </c>
      <c r="E12" s="14" t="n">
        <v>30</v>
      </c>
      <c r="F12" s="14"/>
      <c r="G12" s="14"/>
      <c r="H12" s="14"/>
      <c r="I12" s="14" t="n">
        <v>2</v>
      </c>
      <c r="J12" s="14"/>
      <c r="K12" s="14"/>
      <c r="L12" s="14"/>
      <c r="M12" s="14"/>
      <c r="N12" s="14"/>
      <c r="O12" s="14"/>
      <c r="P12" s="14" t="s">
        <v>1469</v>
      </c>
      <c r="Q12" s="14"/>
      <c r="R12" s="14"/>
      <c r="S12" s="16"/>
      <c r="T12" s="16"/>
      <c r="U12" s="16"/>
      <c r="V12" s="14"/>
      <c r="W12" s="16"/>
      <c r="X12" s="16" t="s">
        <v>2566</v>
      </c>
      <c r="Y12" s="16" t="s">
        <v>2567</v>
      </c>
      <c r="Z12" s="13" t="s">
        <v>705</v>
      </c>
      <c r="AA12" s="14"/>
      <c r="AB12" s="13" t="s">
        <v>2519</v>
      </c>
    </row>
    <row r="13" customFormat="false" ht="15" hidden="false" customHeight="false" outlineLevel="0" collapsed="false">
      <c r="A13" s="13" t="s">
        <v>2568</v>
      </c>
      <c r="B13" s="14" t="s">
        <v>2558</v>
      </c>
      <c r="C13" s="13" t="s">
        <v>2569</v>
      </c>
      <c r="D13" s="14" t="s">
        <v>2570</v>
      </c>
      <c r="E13" s="14" t="n">
        <v>6</v>
      </c>
      <c r="F13" s="14"/>
      <c r="G13" s="14"/>
      <c r="H13" s="14" t="n">
        <v>1.5</v>
      </c>
      <c r="I13" s="14" t="n">
        <v>2</v>
      </c>
      <c r="J13" s="14"/>
      <c r="K13" s="14"/>
      <c r="L13" s="14"/>
      <c r="M13" s="14"/>
      <c r="N13" s="14"/>
      <c r="O13" s="14"/>
      <c r="P13" s="14" t="s">
        <v>1290</v>
      </c>
      <c r="Q13" s="14"/>
      <c r="R13" s="14"/>
      <c r="S13" s="16"/>
      <c r="T13" s="16"/>
      <c r="U13" s="16"/>
      <c r="V13" s="14"/>
      <c r="W13" s="16"/>
      <c r="X13" s="16" t="s">
        <v>2571</v>
      </c>
      <c r="Y13" s="16" t="s">
        <v>2572</v>
      </c>
      <c r="Z13" s="13" t="s">
        <v>705</v>
      </c>
      <c r="AA13" s="14"/>
      <c r="AB13" s="13" t="s">
        <v>2519</v>
      </c>
    </row>
    <row r="14" customFormat="false" ht="29.85" hidden="false" customHeight="false" outlineLevel="0" collapsed="false">
      <c r="A14" s="13" t="s">
        <v>2573</v>
      </c>
      <c r="B14" s="14" t="s">
        <v>2558</v>
      </c>
      <c r="C14" s="13" t="s">
        <v>2574</v>
      </c>
      <c r="D14" s="14" t="s">
        <v>2575</v>
      </c>
      <c r="E14" s="14" t="n">
        <v>8</v>
      </c>
      <c r="F14" s="14"/>
      <c r="G14" s="14"/>
      <c r="H14" s="14" t="n">
        <v>2</v>
      </c>
      <c r="I14" s="14" t="n">
        <v>2</v>
      </c>
      <c r="J14" s="14"/>
      <c r="K14" s="14"/>
      <c r="L14" s="14" t="s">
        <v>352</v>
      </c>
      <c r="M14" s="14"/>
      <c r="N14" s="14"/>
      <c r="O14" s="14"/>
      <c r="P14" s="14" t="s">
        <v>1419</v>
      </c>
      <c r="Q14" s="14"/>
      <c r="R14" s="14"/>
      <c r="S14" s="16"/>
      <c r="T14" s="16"/>
      <c r="U14" s="16"/>
      <c r="V14" s="14"/>
      <c r="W14" s="16"/>
      <c r="X14" s="16" t="s">
        <v>2576</v>
      </c>
      <c r="Y14" s="16" t="s">
        <v>2577</v>
      </c>
      <c r="Z14" s="13" t="s">
        <v>672</v>
      </c>
      <c r="AA14" s="14"/>
      <c r="AB14" s="13" t="s">
        <v>2519</v>
      </c>
    </row>
    <row r="15" customFormat="false" ht="58.2" hidden="false" customHeight="false" outlineLevel="0" collapsed="false">
      <c r="A15" s="13" t="s">
        <v>2578</v>
      </c>
      <c r="B15" s="14" t="s">
        <v>2579</v>
      </c>
      <c r="C15" s="13" t="s">
        <v>2580</v>
      </c>
      <c r="D15" s="14" t="s">
        <v>2581</v>
      </c>
      <c r="E15" s="14" t="n">
        <v>8</v>
      </c>
      <c r="F15" s="14"/>
      <c r="G15" s="14"/>
      <c r="H15" s="14"/>
      <c r="I15" s="14" t="n">
        <v>2</v>
      </c>
      <c r="J15" s="14"/>
      <c r="K15" s="14"/>
      <c r="L15" s="14"/>
      <c r="M15" s="14"/>
      <c r="N15" s="14"/>
      <c r="O15" s="14"/>
      <c r="P15" s="14"/>
      <c r="Q15" s="14"/>
      <c r="R15" s="14"/>
      <c r="S15" s="16"/>
      <c r="T15" s="16"/>
      <c r="U15" s="15" t="s">
        <v>2582</v>
      </c>
      <c r="V15" s="14"/>
      <c r="W15" s="16"/>
      <c r="X15" s="16" t="s">
        <v>2583</v>
      </c>
      <c r="Y15" s="16" t="s">
        <v>2584</v>
      </c>
      <c r="Z15" s="13" t="s">
        <v>684</v>
      </c>
      <c r="AA15" s="14"/>
      <c r="AB15" s="13" t="s">
        <v>2519</v>
      </c>
    </row>
    <row r="16" customFormat="false" ht="58.2" hidden="false" customHeight="false" outlineLevel="0" collapsed="false">
      <c r="A16" s="13" t="s">
        <v>2585</v>
      </c>
      <c r="B16" s="14" t="s">
        <v>2579</v>
      </c>
      <c r="C16" s="13" t="s">
        <v>2586</v>
      </c>
      <c r="D16" s="14" t="s">
        <v>2587</v>
      </c>
      <c r="E16" s="14" t="n">
        <v>25</v>
      </c>
      <c r="F16" s="14"/>
      <c r="G16" s="14"/>
      <c r="H16" s="14"/>
      <c r="I16" s="14" t="n">
        <v>1</v>
      </c>
      <c r="J16" s="14"/>
      <c r="K16" s="14"/>
      <c r="L16" s="14"/>
      <c r="M16" s="14"/>
      <c r="N16" s="14"/>
      <c r="O16" s="14"/>
      <c r="P16" s="14"/>
      <c r="Q16" s="14"/>
      <c r="R16" s="14"/>
      <c r="S16" s="16"/>
      <c r="T16" s="16"/>
      <c r="U16" s="15" t="s">
        <v>2588</v>
      </c>
      <c r="V16" s="14"/>
      <c r="W16" s="16"/>
      <c r="X16" s="16" t="s">
        <v>2589</v>
      </c>
      <c r="Y16" s="16" t="s">
        <v>2590</v>
      </c>
      <c r="Z16" s="13" t="s">
        <v>678</v>
      </c>
      <c r="AA16" s="14"/>
      <c r="AB16" s="13" t="s">
        <v>2519</v>
      </c>
    </row>
    <row r="17" customFormat="false" ht="44" hidden="false" customHeight="false" outlineLevel="0" collapsed="false">
      <c r="A17" s="13" t="s">
        <v>2591</v>
      </c>
      <c r="B17" s="14" t="s">
        <v>2579</v>
      </c>
      <c r="C17" s="13" t="s">
        <v>2592</v>
      </c>
      <c r="D17" s="14" t="s">
        <v>2593</v>
      </c>
      <c r="E17" s="14" t="n">
        <v>15</v>
      </c>
      <c r="F17" s="14"/>
      <c r="G17" s="14"/>
      <c r="H17" s="14"/>
      <c r="I17" s="14" t="n">
        <v>1</v>
      </c>
      <c r="J17" s="14"/>
      <c r="K17" s="14"/>
      <c r="L17" s="14"/>
      <c r="M17" s="14"/>
      <c r="N17" s="14"/>
      <c r="O17" s="14"/>
      <c r="P17" s="14"/>
      <c r="Q17" s="14"/>
      <c r="R17" s="14"/>
      <c r="S17" s="16"/>
      <c r="T17" s="16"/>
      <c r="U17" s="15" t="s">
        <v>2594</v>
      </c>
      <c r="V17" s="14"/>
      <c r="W17" s="16"/>
      <c r="X17" s="16" t="s">
        <v>2595</v>
      </c>
      <c r="Y17" s="16" t="s">
        <v>2596</v>
      </c>
      <c r="Z17" s="13" t="s">
        <v>286</v>
      </c>
      <c r="AA17" s="14"/>
      <c r="AB17" s="13" t="s">
        <v>2519</v>
      </c>
    </row>
    <row r="18" customFormat="false" ht="29.85" hidden="false" customHeight="false" outlineLevel="0" collapsed="false">
      <c r="A18" s="13" t="s">
        <v>2597</v>
      </c>
      <c r="B18" s="14" t="s">
        <v>2512</v>
      </c>
      <c r="C18" s="13" t="s">
        <v>2598</v>
      </c>
      <c r="D18" s="14" t="s">
        <v>2599</v>
      </c>
      <c r="E18" s="14" t="n">
        <v>900</v>
      </c>
      <c r="F18" s="14"/>
      <c r="G18" s="14"/>
      <c r="H18" s="14"/>
      <c r="I18" s="14" t="n">
        <v>2</v>
      </c>
      <c r="J18" s="14" t="s">
        <v>352</v>
      </c>
      <c r="K18" s="14"/>
      <c r="L18" s="14"/>
      <c r="M18" s="14"/>
      <c r="N18" s="14"/>
      <c r="O18" s="14" t="s">
        <v>352</v>
      </c>
      <c r="P18" s="14"/>
      <c r="Q18" s="14" t="n">
        <v>2</v>
      </c>
      <c r="R18" s="14" t="n">
        <v>0.7</v>
      </c>
      <c r="S18" s="15" t="s">
        <v>2600</v>
      </c>
      <c r="T18" s="16" t="s">
        <v>2601</v>
      </c>
      <c r="U18" s="16"/>
      <c r="V18" s="14"/>
      <c r="W18" s="16" t="s">
        <v>2602</v>
      </c>
      <c r="X18" s="16" t="s">
        <v>2603</v>
      </c>
      <c r="Y18" s="16" t="s">
        <v>2604</v>
      </c>
      <c r="Z18" s="13" t="s">
        <v>678</v>
      </c>
      <c r="AA18" s="14"/>
      <c r="AB18" s="13" t="s">
        <v>2519</v>
      </c>
    </row>
    <row r="19" customFormat="false" ht="29.85" hidden="false" customHeight="false" outlineLevel="0" collapsed="false">
      <c r="A19" s="13" t="s">
        <v>2605</v>
      </c>
      <c r="B19" s="14" t="s">
        <v>2512</v>
      </c>
      <c r="C19" s="13" t="s">
        <v>2606</v>
      </c>
      <c r="D19" s="14" t="s">
        <v>2607</v>
      </c>
      <c r="E19" s="14" t="n">
        <v>220</v>
      </c>
      <c r="F19" s="14"/>
      <c r="G19" s="14"/>
      <c r="H19" s="14"/>
      <c r="I19" s="14" t="n">
        <v>1</v>
      </c>
      <c r="J19" s="14"/>
      <c r="K19" s="14"/>
      <c r="L19" s="14"/>
      <c r="M19" s="14"/>
      <c r="N19" s="14"/>
      <c r="O19" s="14"/>
      <c r="P19" s="14"/>
      <c r="Q19" s="14" t="n">
        <v>1</v>
      </c>
      <c r="R19" s="14" t="n">
        <v>0.5</v>
      </c>
      <c r="S19" s="15" t="s">
        <v>2608</v>
      </c>
      <c r="T19" s="16" t="s">
        <v>2609</v>
      </c>
      <c r="U19" s="16"/>
      <c r="V19" s="14"/>
      <c r="W19" s="16"/>
      <c r="X19" s="16" t="s">
        <v>2610</v>
      </c>
      <c r="Y19" s="16" t="s">
        <v>2611</v>
      </c>
      <c r="Z19" s="13" t="s">
        <v>678</v>
      </c>
      <c r="AA19" s="14"/>
      <c r="AB19" s="13" t="s">
        <v>2519</v>
      </c>
    </row>
    <row r="20" customFormat="false" ht="29.85" hidden="false" customHeight="false" outlineLevel="0" collapsed="false">
      <c r="A20" s="13" t="s">
        <v>2612</v>
      </c>
      <c r="B20" s="14" t="s">
        <v>2613</v>
      </c>
      <c r="C20" s="13" t="s">
        <v>2614</v>
      </c>
      <c r="D20" s="14" t="s">
        <v>2615</v>
      </c>
      <c r="E20" s="14" t="n">
        <v>300</v>
      </c>
      <c r="F20" s="14"/>
      <c r="G20" s="14"/>
      <c r="H20" s="14" t="n">
        <v>5</v>
      </c>
      <c r="I20" s="14" t="n">
        <v>2</v>
      </c>
      <c r="J20" s="14"/>
      <c r="K20" s="14"/>
      <c r="L20" s="14"/>
      <c r="M20" s="14"/>
      <c r="N20" s="14"/>
      <c r="O20" s="14"/>
      <c r="P20" s="14"/>
      <c r="Q20" s="14"/>
      <c r="R20" s="14"/>
      <c r="S20" s="16"/>
      <c r="T20" s="16"/>
      <c r="U20" s="16"/>
      <c r="V20" s="14"/>
      <c r="W20" s="16"/>
      <c r="X20" s="16" t="s">
        <v>2616</v>
      </c>
      <c r="Y20" s="16" t="s">
        <v>2617</v>
      </c>
      <c r="Z20" s="13" t="s">
        <v>2618</v>
      </c>
      <c r="AA20" s="14"/>
      <c r="AB20" s="13" t="s">
        <v>2519</v>
      </c>
    </row>
    <row r="21" customFormat="false" ht="29.85" hidden="false" customHeight="false" outlineLevel="0" collapsed="false">
      <c r="A21" s="13" t="s">
        <v>2619</v>
      </c>
      <c r="B21" s="14" t="s">
        <v>2613</v>
      </c>
      <c r="C21" s="13" t="s">
        <v>2620</v>
      </c>
      <c r="D21" s="14" t="s">
        <v>2621</v>
      </c>
      <c r="E21" s="14" t="n">
        <v>150</v>
      </c>
      <c r="F21" s="14"/>
      <c r="G21" s="14"/>
      <c r="H21" s="14"/>
      <c r="I21" s="14" t="n">
        <v>2</v>
      </c>
      <c r="J21" s="14"/>
      <c r="K21" s="14"/>
      <c r="L21" s="14"/>
      <c r="M21" s="14"/>
      <c r="N21" s="14"/>
      <c r="O21" s="14"/>
      <c r="P21" s="14"/>
      <c r="Q21" s="14"/>
      <c r="R21" s="14"/>
      <c r="S21" s="16"/>
      <c r="T21" s="16"/>
      <c r="U21" s="16"/>
      <c r="V21" s="14"/>
      <c r="W21" s="16"/>
      <c r="X21" s="16" t="s">
        <v>2622</v>
      </c>
      <c r="Y21" s="16" t="s">
        <v>2623</v>
      </c>
      <c r="Z21" s="13" t="s">
        <v>2624</v>
      </c>
      <c r="AA21" s="14"/>
      <c r="AB21" s="13" t="s">
        <v>2519</v>
      </c>
    </row>
    <row r="22" customFormat="false" ht="29.85" hidden="false" customHeight="false" outlineLevel="0" collapsed="false">
      <c r="A22" s="13" t="s">
        <v>2625</v>
      </c>
      <c r="B22" s="14" t="s">
        <v>2613</v>
      </c>
      <c r="C22" s="13" t="s">
        <v>2626</v>
      </c>
      <c r="D22" s="14" t="s">
        <v>2627</v>
      </c>
      <c r="E22" s="14" t="n">
        <v>60</v>
      </c>
      <c r="F22" s="14"/>
      <c r="G22" s="14"/>
      <c r="H22" s="14" t="n">
        <v>2</v>
      </c>
      <c r="I22" s="14" t="n">
        <v>1</v>
      </c>
      <c r="J22" s="14"/>
      <c r="K22" s="14"/>
      <c r="L22" s="14"/>
      <c r="M22" s="14"/>
      <c r="N22" s="14"/>
      <c r="O22" s="14"/>
      <c r="P22" s="14"/>
      <c r="Q22" s="14"/>
      <c r="R22" s="14"/>
      <c r="S22" s="16"/>
      <c r="T22" s="16"/>
      <c r="U22" s="16"/>
      <c r="V22" s="14"/>
      <c r="W22" s="16"/>
      <c r="X22" s="16" t="s">
        <v>2628</v>
      </c>
      <c r="Y22" s="16" t="s">
        <v>2629</v>
      </c>
      <c r="Z22" s="13" t="s">
        <v>2630</v>
      </c>
      <c r="AA22" s="14"/>
      <c r="AB22" s="13" t="s">
        <v>2519</v>
      </c>
    </row>
    <row r="23" customFormat="false" ht="72.35" hidden="false" customHeight="false" outlineLevel="0" collapsed="false">
      <c r="A23" s="13" t="s">
        <v>2631</v>
      </c>
      <c r="B23" s="14" t="s">
        <v>2579</v>
      </c>
      <c r="C23" s="13" t="s">
        <v>2632</v>
      </c>
      <c r="D23" s="13" t="s">
        <v>2633</v>
      </c>
      <c r="E23" s="14" t="n">
        <v>10</v>
      </c>
      <c r="F23" s="14"/>
      <c r="G23" s="14"/>
      <c r="H23" s="14"/>
      <c r="I23" s="14" t="n">
        <v>2</v>
      </c>
      <c r="J23" s="14"/>
      <c r="K23" s="14"/>
      <c r="L23" s="14"/>
      <c r="M23" s="14"/>
      <c r="N23" s="14"/>
      <c r="O23" s="14"/>
      <c r="P23" s="14"/>
      <c r="Q23" s="14"/>
      <c r="R23" s="14"/>
      <c r="S23" s="16"/>
      <c r="T23" s="16"/>
      <c r="U23" s="15" t="s">
        <v>2634</v>
      </c>
      <c r="V23" s="14"/>
      <c r="W23" s="16"/>
      <c r="X23" s="15" t="s">
        <v>2635</v>
      </c>
      <c r="Y23" s="16" t="s">
        <v>2636</v>
      </c>
      <c r="Z23" s="13" t="s">
        <v>678</v>
      </c>
      <c r="AA23" s="14"/>
      <c r="AB23" s="13" t="s">
        <v>2519</v>
      </c>
    </row>
    <row r="24" customFormat="false" ht="58.2" hidden="false" customHeight="false" outlineLevel="0" collapsed="false">
      <c r="A24" s="13" t="s">
        <v>2637</v>
      </c>
      <c r="B24" s="14" t="s">
        <v>2579</v>
      </c>
      <c r="C24" s="13" t="s">
        <v>2638</v>
      </c>
      <c r="D24" s="14" t="s">
        <v>2639</v>
      </c>
      <c r="E24" s="14" t="n">
        <v>6</v>
      </c>
      <c r="F24" s="14"/>
      <c r="G24" s="14"/>
      <c r="H24" s="14"/>
      <c r="I24" s="14" t="n">
        <v>2</v>
      </c>
      <c r="J24" s="14"/>
      <c r="K24" s="14"/>
      <c r="L24" s="14"/>
      <c r="M24" s="14"/>
      <c r="N24" s="14"/>
      <c r="O24" s="14"/>
      <c r="P24" s="14"/>
      <c r="Q24" s="14"/>
      <c r="R24" s="14"/>
      <c r="S24" s="16"/>
      <c r="T24" s="16"/>
      <c r="U24" s="15" t="s">
        <v>2640</v>
      </c>
      <c r="V24" s="14"/>
      <c r="W24" s="16"/>
      <c r="X24" s="16" t="s">
        <v>2641</v>
      </c>
      <c r="Y24" s="16" t="s">
        <v>2642</v>
      </c>
      <c r="Z24" s="13" t="s">
        <v>2643</v>
      </c>
      <c r="AA24" s="14"/>
      <c r="AB24" s="13" t="s">
        <v>2519</v>
      </c>
    </row>
    <row r="25" customFormat="false" ht="29.85" hidden="false" customHeight="false" outlineLevel="0" collapsed="false">
      <c r="A25" s="13" t="s">
        <v>2644</v>
      </c>
      <c r="B25" s="14" t="s">
        <v>2512</v>
      </c>
      <c r="C25" s="13" t="s">
        <v>2598</v>
      </c>
      <c r="D25" s="13" t="s">
        <v>2645</v>
      </c>
      <c r="E25" s="14" t="n">
        <v>560</v>
      </c>
      <c r="F25" s="14"/>
      <c r="G25" s="14"/>
      <c r="H25" s="14"/>
      <c r="I25" s="14" t="n">
        <v>1</v>
      </c>
      <c r="J25" s="14" t="s">
        <v>352</v>
      </c>
      <c r="K25" s="14"/>
      <c r="L25" s="14"/>
      <c r="M25" s="14"/>
      <c r="N25" s="14"/>
      <c r="O25" s="14" t="s">
        <v>352</v>
      </c>
      <c r="P25" s="14"/>
      <c r="Q25" s="14"/>
      <c r="R25" s="14" t="n">
        <v>0.6</v>
      </c>
      <c r="S25" s="15" t="s">
        <v>2646</v>
      </c>
      <c r="T25" s="16" t="s">
        <v>2647</v>
      </c>
      <c r="U25" s="16"/>
      <c r="V25" s="14"/>
      <c r="W25" s="16" t="s">
        <v>2648</v>
      </c>
      <c r="X25" s="16" t="s">
        <v>2649</v>
      </c>
      <c r="Y25" s="15" t="s">
        <v>2650</v>
      </c>
      <c r="Z25" s="13" t="s">
        <v>2651</v>
      </c>
      <c r="AA25" s="14"/>
      <c r="AB25" s="13" t="s">
        <v>2519</v>
      </c>
    </row>
    <row r="26" customFormat="false" ht="29.85" hidden="false" customHeight="false" outlineLevel="0" collapsed="false">
      <c r="A26" s="13" t="s">
        <v>2652</v>
      </c>
      <c r="B26" s="14" t="s">
        <v>2550</v>
      </c>
      <c r="C26" s="13" t="s">
        <v>2653</v>
      </c>
      <c r="D26" s="14" t="s">
        <v>2654</v>
      </c>
      <c r="E26" s="14"/>
      <c r="F26" s="14"/>
      <c r="G26" s="14" t="n">
        <v>18</v>
      </c>
      <c r="H26" s="14"/>
      <c r="I26" s="14" t="n">
        <v>0</v>
      </c>
      <c r="J26" s="14"/>
      <c r="K26" s="14"/>
      <c r="L26" s="14"/>
      <c r="M26" s="14"/>
      <c r="N26" s="14" t="s">
        <v>352</v>
      </c>
      <c r="O26" s="14"/>
      <c r="P26" s="14"/>
      <c r="Q26" s="14"/>
      <c r="R26" s="14"/>
      <c r="S26" s="16"/>
      <c r="T26" s="16"/>
      <c r="U26" s="16"/>
      <c r="V26" s="14"/>
      <c r="W26" s="16" t="s">
        <v>2655</v>
      </c>
      <c r="X26" s="16" t="s">
        <v>2656</v>
      </c>
      <c r="Y26" s="16" t="s">
        <v>2657</v>
      </c>
      <c r="Z26" s="13" t="s">
        <v>2556</v>
      </c>
      <c r="AA26" s="14"/>
      <c r="AB26" s="13" t="s">
        <v>2519</v>
      </c>
    </row>
    <row r="27" customFormat="false" ht="29.85" hidden="false" customHeight="false" outlineLevel="0" collapsed="false">
      <c r="A27" s="13" t="s">
        <v>2658</v>
      </c>
      <c r="B27" s="14" t="s">
        <v>2558</v>
      </c>
      <c r="C27" s="13" t="s">
        <v>2659</v>
      </c>
      <c r="D27" s="14" t="s">
        <v>2660</v>
      </c>
      <c r="E27" s="14" t="n">
        <v>100</v>
      </c>
      <c r="F27" s="14" t="n">
        <v>1.5</v>
      </c>
      <c r="G27" s="14"/>
      <c r="H27" s="14"/>
      <c r="I27" s="14" t="n">
        <v>3</v>
      </c>
      <c r="J27" s="14" t="s">
        <v>396</v>
      </c>
      <c r="K27" s="14"/>
      <c r="L27" s="14"/>
      <c r="M27" s="14"/>
      <c r="N27" s="14"/>
      <c r="O27" s="14"/>
      <c r="P27" s="14"/>
      <c r="Q27" s="14"/>
      <c r="R27" s="14"/>
      <c r="S27" s="16"/>
      <c r="T27" s="16"/>
      <c r="U27" s="16"/>
      <c r="V27" s="14"/>
      <c r="W27" s="16"/>
      <c r="X27" s="16" t="s">
        <v>2661</v>
      </c>
      <c r="Y27" s="16" t="s">
        <v>2662</v>
      </c>
      <c r="Z27" s="13" t="s">
        <v>672</v>
      </c>
      <c r="AA27" s="14"/>
      <c r="AB27" s="13" t="s">
        <v>2519</v>
      </c>
    </row>
    <row r="28" customFormat="false" ht="29.85" hidden="false" customHeight="false" outlineLevel="0" collapsed="false">
      <c r="A28" s="13" t="s">
        <v>2663</v>
      </c>
      <c r="B28" s="14" t="s">
        <v>2535</v>
      </c>
      <c r="C28" s="13" t="s">
        <v>2664</v>
      </c>
      <c r="D28" s="14" t="s">
        <v>2665</v>
      </c>
      <c r="E28" s="14" t="n">
        <v>150</v>
      </c>
      <c r="F28" s="14"/>
      <c r="G28" s="14"/>
      <c r="H28" s="14"/>
      <c r="I28" s="14" t="n">
        <v>2</v>
      </c>
      <c r="J28" s="14" t="s">
        <v>352</v>
      </c>
      <c r="K28" s="14"/>
      <c r="L28" s="14" t="s">
        <v>352</v>
      </c>
      <c r="M28" s="14"/>
      <c r="N28" s="14"/>
      <c r="O28" s="14"/>
      <c r="P28" s="14"/>
      <c r="Q28" s="14"/>
      <c r="R28" s="14"/>
      <c r="S28" s="16"/>
      <c r="T28" s="16"/>
      <c r="U28" s="16"/>
      <c r="V28" s="14"/>
      <c r="W28" s="16"/>
      <c r="X28" s="16" t="s">
        <v>2666</v>
      </c>
      <c r="Y28" s="16" t="s">
        <v>2667</v>
      </c>
      <c r="Z28" s="13" t="s">
        <v>2668</v>
      </c>
      <c r="AA28" s="14"/>
      <c r="AB28" s="13" t="s">
        <v>2519</v>
      </c>
    </row>
    <row r="29" customFormat="false" ht="29.85" hidden="false" customHeight="false" outlineLevel="0" collapsed="false">
      <c r="A29" s="13" t="s">
        <v>2669</v>
      </c>
      <c r="B29" s="14" t="s">
        <v>2613</v>
      </c>
      <c r="C29" s="13" t="s">
        <v>2670</v>
      </c>
      <c r="D29" s="14" t="s">
        <v>2671</v>
      </c>
      <c r="E29" s="14" t="n">
        <v>500</v>
      </c>
      <c r="F29" s="14"/>
      <c r="G29" s="14"/>
      <c r="H29" s="14" t="n">
        <v>8</v>
      </c>
      <c r="I29" s="14" t="n">
        <v>2</v>
      </c>
      <c r="J29" s="14" t="s">
        <v>396</v>
      </c>
      <c r="K29" s="14"/>
      <c r="L29" s="14"/>
      <c r="M29" s="14"/>
      <c r="N29" s="14"/>
      <c r="O29" s="14"/>
      <c r="P29" s="14"/>
      <c r="Q29" s="14"/>
      <c r="R29" s="14"/>
      <c r="S29" s="16"/>
      <c r="T29" s="16"/>
      <c r="U29" s="16"/>
      <c r="V29" s="14"/>
      <c r="W29" s="16"/>
      <c r="X29" s="16" t="s">
        <v>2672</v>
      </c>
      <c r="Y29" s="16" t="s">
        <v>2673</v>
      </c>
      <c r="Z29" s="13" t="s">
        <v>2630</v>
      </c>
      <c r="AA29" s="14"/>
      <c r="AB29" s="13" t="s">
        <v>2519</v>
      </c>
    </row>
    <row r="30" customFormat="false" ht="29.85" hidden="false" customHeight="false" outlineLevel="0" collapsed="false">
      <c r="A30" s="13" t="s">
        <v>2674</v>
      </c>
      <c r="B30" s="14" t="s">
        <v>2613</v>
      </c>
      <c r="C30" s="13" t="s">
        <v>2626</v>
      </c>
      <c r="D30" s="14" t="s">
        <v>2675</v>
      </c>
      <c r="E30" s="14" t="n">
        <v>3</v>
      </c>
      <c r="F30" s="14"/>
      <c r="G30" s="14"/>
      <c r="H30" s="14" t="n">
        <v>0</v>
      </c>
      <c r="I30" s="14" t="n">
        <v>1</v>
      </c>
      <c r="J30" s="14" t="s">
        <v>396</v>
      </c>
      <c r="K30" s="14"/>
      <c r="L30" s="14"/>
      <c r="M30" s="14"/>
      <c r="N30" s="14"/>
      <c r="O30" s="14"/>
      <c r="P30" s="14"/>
      <c r="Q30" s="14"/>
      <c r="R30" s="14"/>
      <c r="S30" s="16"/>
      <c r="T30" s="16"/>
      <c r="U30" s="16"/>
      <c r="V30" s="14"/>
      <c r="W30" s="16"/>
      <c r="X30" s="16" t="s">
        <v>2676</v>
      </c>
      <c r="Y30" s="16" t="s">
        <v>2677</v>
      </c>
      <c r="Z30" s="13" t="s">
        <v>2678</v>
      </c>
      <c r="AA30" s="14"/>
      <c r="AB30" s="13" t="s">
        <v>2519</v>
      </c>
    </row>
  </sheetData>
  <autoFilter ref="A4:AB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46"/>
    <col collapsed="false" customWidth="true" hidden="false" outlineLevel="0" max="12" min="12" style="0" width="36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10"/>
  </cols>
  <sheetData>
    <row r="1" customFormat="false" ht="19.4" hidden="false" customHeight="false" outlineLevel="0" collapsed="false">
      <c r="A1" s="9" t="s">
        <v>2679</v>
      </c>
    </row>
    <row r="2" customFormat="false" ht="15" hidden="false" customHeight="false" outlineLevel="0" collapsed="false">
      <c r="A2" s="10" t="s">
        <v>2680</v>
      </c>
    </row>
    <row r="4" customFormat="false" ht="30" hidden="false" customHeight="true" outlineLevel="0" collapsed="false">
      <c r="A4" s="11" t="s">
        <v>70</v>
      </c>
      <c r="B4" s="12" t="s">
        <v>2681</v>
      </c>
      <c r="C4" s="12" t="s">
        <v>2682</v>
      </c>
      <c r="D4" s="12" t="s">
        <v>2683</v>
      </c>
      <c r="E4" s="12" t="s">
        <v>2684</v>
      </c>
      <c r="F4" s="12" t="s">
        <v>2685</v>
      </c>
      <c r="G4" s="12" t="s">
        <v>2686</v>
      </c>
      <c r="H4" s="12" t="s">
        <v>2687</v>
      </c>
      <c r="I4" s="12" t="s">
        <v>2688</v>
      </c>
      <c r="J4" s="12" t="s">
        <v>2689</v>
      </c>
      <c r="K4" s="12" t="s">
        <v>2690</v>
      </c>
      <c r="L4" s="12" t="s">
        <v>196</v>
      </c>
      <c r="M4" s="12" t="s">
        <v>280</v>
      </c>
      <c r="N4" s="12" t="s">
        <v>281</v>
      </c>
      <c r="O4" s="12" t="s">
        <v>83</v>
      </c>
    </row>
    <row r="5" customFormat="false" ht="15" hidden="false" customHeight="false" outlineLevel="0" collapsed="false">
      <c r="A5" s="13" t="s">
        <v>2691</v>
      </c>
      <c r="B5" s="14" t="s">
        <v>2692</v>
      </c>
      <c r="C5" s="13" t="s">
        <v>2693</v>
      </c>
      <c r="D5" s="13" t="s">
        <v>2694</v>
      </c>
      <c r="E5" s="14" t="n">
        <v>20</v>
      </c>
      <c r="F5" s="14" t="n">
        <v>0</v>
      </c>
      <c r="G5" s="14" t="n">
        <v>4</v>
      </c>
      <c r="H5" s="14" t="s">
        <v>396</v>
      </c>
      <c r="I5" s="14"/>
      <c r="J5" s="14"/>
      <c r="K5" s="16" t="s">
        <v>2695</v>
      </c>
      <c r="L5" s="16" t="s">
        <v>2696</v>
      </c>
      <c r="M5" s="16" t="s">
        <v>2697</v>
      </c>
      <c r="N5" s="13" t="s">
        <v>862</v>
      </c>
      <c r="O5" s="13" t="s">
        <v>863</v>
      </c>
    </row>
    <row r="6" customFormat="false" ht="15" hidden="false" customHeight="false" outlineLevel="0" collapsed="false">
      <c r="A6" s="13" t="s">
        <v>2698</v>
      </c>
      <c r="B6" s="14" t="s">
        <v>2699</v>
      </c>
      <c r="C6" s="13" t="s">
        <v>2693</v>
      </c>
      <c r="D6" s="13" t="s">
        <v>2700</v>
      </c>
      <c r="E6" s="14" t="n">
        <v>25</v>
      </c>
      <c r="F6" s="14" t="n">
        <v>2</v>
      </c>
      <c r="G6" s="14" t="n">
        <v>6</v>
      </c>
      <c r="H6" s="14" t="s">
        <v>396</v>
      </c>
      <c r="I6" s="14"/>
      <c r="J6" s="14"/>
      <c r="K6" s="16" t="s">
        <v>2701</v>
      </c>
      <c r="L6" s="16" t="s">
        <v>2702</v>
      </c>
      <c r="M6" s="16" t="s">
        <v>2703</v>
      </c>
      <c r="N6" s="13" t="s">
        <v>862</v>
      </c>
      <c r="O6" s="13" t="s">
        <v>863</v>
      </c>
    </row>
    <row r="7" customFormat="false" ht="15" hidden="false" customHeight="false" outlineLevel="0" collapsed="false">
      <c r="A7" s="13" t="s">
        <v>2704</v>
      </c>
      <c r="B7" s="14" t="s">
        <v>2705</v>
      </c>
      <c r="C7" s="13" t="s">
        <v>2706</v>
      </c>
      <c r="D7" s="13" t="s">
        <v>2707</v>
      </c>
      <c r="E7" s="14" t="n">
        <v>15</v>
      </c>
      <c r="F7" s="14" t="n">
        <v>0</v>
      </c>
      <c r="G7" s="14" t="n">
        <v>3</v>
      </c>
      <c r="H7" s="14" t="s">
        <v>352</v>
      </c>
      <c r="I7" s="14"/>
      <c r="J7" s="14"/>
      <c r="K7" s="16" t="s">
        <v>2708</v>
      </c>
      <c r="L7" s="16" t="s">
        <v>2709</v>
      </c>
      <c r="M7" s="16" t="s">
        <v>2710</v>
      </c>
      <c r="N7" s="13" t="s">
        <v>862</v>
      </c>
      <c r="O7" s="13" t="s">
        <v>863</v>
      </c>
    </row>
    <row r="8" customFormat="false" ht="29.85" hidden="false" customHeight="false" outlineLevel="0" collapsed="false">
      <c r="A8" s="13" t="s">
        <v>2711</v>
      </c>
      <c r="B8" s="14" t="s">
        <v>2712</v>
      </c>
      <c r="C8" s="13" t="s">
        <v>2706</v>
      </c>
      <c r="D8" s="13" t="s">
        <v>2713</v>
      </c>
      <c r="E8" s="14" t="n">
        <v>8</v>
      </c>
      <c r="F8" s="14" t="n">
        <v>0</v>
      </c>
      <c r="G8" s="14" t="n">
        <v>2</v>
      </c>
      <c r="H8" s="14" t="s">
        <v>396</v>
      </c>
      <c r="I8" s="14"/>
      <c r="J8" s="14"/>
      <c r="K8" s="16" t="s">
        <v>2714</v>
      </c>
      <c r="L8" s="16" t="s">
        <v>2715</v>
      </c>
      <c r="M8" s="16" t="s">
        <v>2716</v>
      </c>
      <c r="N8" s="13" t="s">
        <v>862</v>
      </c>
      <c r="O8" s="13" t="s">
        <v>863</v>
      </c>
    </row>
    <row r="9" customFormat="false" ht="15" hidden="false" customHeight="false" outlineLevel="0" collapsed="false">
      <c r="A9" s="13" t="s">
        <v>2717</v>
      </c>
      <c r="B9" s="14" t="s">
        <v>2718</v>
      </c>
      <c r="C9" s="13" t="s">
        <v>2693</v>
      </c>
      <c r="D9" s="13" t="s">
        <v>2719</v>
      </c>
      <c r="E9" s="14" t="n">
        <v>18</v>
      </c>
      <c r="F9" s="14" t="n">
        <v>0</v>
      </c>
      <c r="G9" s="14" t="n">
        <v>4</v>
      </c>
      <c r="H9" s="14" t="s">
        <v>396</v>
      </c>
      <c r="I9" s="14"/>
      <c r="J9" s="14"/>
      <c r="K9" s="16" t="s">
        <v>2720</v>
      </c>
      <c r="L9" s="16" t="s">
        <v>2721</v>
      </c>
      <c r="M9" s="16" t="s">
        <v>2722</v>
      </c>
      <c r="N9" s="13" t="s">
        <v>862</v>
      </c>
      <c r="O9" s="13" t="s">
        <v>863</v>
      </c>
    </row>
    <row r="10" customFormat="false" ht="15" hidden="false" customHeight="false" outlineLevel="0" collapsed="false">
      <c r="A10" s="13" t="s">
        <v>874</v>
      </c>
      <c r="B10" s="14" t="s">
        <v>2723</v>
      </c>
      <c r="C10" s="13" t="s">
        <v>2693</v>
      </c>
      <c r="D10" s="13" t="s">
        <v>2724</v>
      </c>
      <c r="E10" s="14" t="n">
        <v>20</v>
      </c>
      <c r="F10" s="14" t="n">
        <v>0</v>
      </c>
      <c r="G10" s="14" t="n">
        <v>4</v>
      </c>
      <c r="H10" s="14" t="s">
        <v>396</v>
      </c>
      <c r="I10" s="14"/>
      <c r="J10" s="14"/>
      <c r="K10" s="16" t="s">
        <v>2725</v>
      </c>
      <c r="L10" s="16" t="s">
        <v>2726</v>
      </c>
      <c r="M10" s="16" t="s">
        <v>2727</v>
      </c>
      <c r="N10" s="13" t="s">
        <v>862</v>
      </c>
      <c r="O10" s="13" t="s">
        <v>863</v>
      </c>
    </row>
    <row r="11" customFormat="false" ht="29.85" hidden="false" customHeight="false" outlineLevel="0" collapsed="false">
      <c r="A11" s="13" t="s">
        <v>2728</v>
      </c>
      <c r="B11" s="14" t="s">
        <v>2729</v>
      </c>
      <c r="C11" s="13" t="s">
        <v>2693</v>
      </c>
      <c r="D11" s="13" t="s">
        <v>2719</v>
      </c>
      <c r="E11" s="14" t="n">
        <v>18</v>
      </c>
      <c r="F11" s="14" t="n">
        <v>0</v>
      </c>
      <c r="G11" s="14" t="n">
        <v>4</v>
      </c>
      <c r="H11" s="14" t="s">
        <v>396</v>
      </c>
      <c r="I11" s="14"/>
      <c r="J11" s="14"/>
      <c r="K11" s="16" t="s">
        <v>2730</v>
      </c>
      <c r="L11" s="16" t="s">
        <v>2731</v>
      </c>
      <c r="M11" s="16" t="s">
        <v>2732</v>
      </c>
      <c r="N11" s="13" t="s">
        <v>862</v>
      </c>
      <c r="O11" s="13" t="s">
        <v>863</v>
      </c>
    </row>
    <row r="12" customFormat="false" ht="15" hidden="false" customHeight="false" outlineLevel="0" collapsed="false">
      <c r="A12" s="13" t="s">
        <v>2733</v>
      </c>
      <c r="B12" s="14" t="s">
        <v>2734</v>
      </c>
      <c r="C12" s="13" t="s">
        <v>2693</v>
      </c>
      <c r="D12" s="13" t="s">
        <v>2724</v>
      </c>
      <c r="E12" s="14" t="n">
        <v>22</v>
      </c>
      <c r="F12" s="14" t="n">
        <v>0</v>
      </c>
      <c r="G12" s="14" t="n">
        <v>4</v>
      </c>
      <c r="H12" s="14" t="s">
        <v>352</v>
      </c>
      <c r="I12" s="14"/>
      <c r="J12" s="14"/>
      <c r="K12" s="16" t="s">
        <v>2735</v>
      </c>
      <c r="L12" s="16" t="s">
        <v>2736</v>
      </c>
      <c r="M12" s="16" t="s">
        <v>2737</v>
      </c>
      <c r="N12" s="13" t="s">
        <v>862</v>
      </c>
      <c r="O12" s="13" t="s">
        <v>863</v>
      </c>
    </row>
    <row r="13" customFormat="false" ht="29.85" hidden="false" customHeight="false" outlineLevel="0" collapsed="false">
      <c r="A13" s="13" t="s">
        <v>2738</v>
      </c>
      <c r="B13" s="14" t="s">
        <v>2739</v>
      </c>
      <c r="C13" s="13" t="s">
        <v>2693</v>
      </c>
      <c r="D13" s="13" t="s">
        <v>2740</v>
      </c>
      <c r="E13" s="14" t="n">
        <v>30</v>
      </c>
      <c r="F13" s="14" t="n">
        <v>0</v>
      </c>
      <c r="G13" s="14" t="n">
        <v>6</v>
      </c>
      <c r="H13" s="14" t="s">
        <v>352</v>
      </c>
      <c r="I13" s="14"/>
      <c r="J13" s="14"/>
      <c r="K13" s="16" t="s">
        <v>2741</v>
      </c>
      <c r="L13" s="16" t="s">
        <v>2742</v>
      </c>
      <c r="M13" s="16" t="s">
        <v>2743</v>
      </c>
      <c r="N13" s="13" t="s">
        <v>862</v>
      </c>
      <c r="O13" s="13" t="s">
        <v>863</v>
      </c>
    </row>
    <row r="14" customFormat="false" ht="29.85" hidden="false" customHeight="false" outlineLevel="0" collapsed="false">
      <c r="A14" s="13" t="s">
        <v>2744</v>
      </c>
      <c r="B14" s="14" t="s">
        <v>2745</v>
      </c>
      <c r="C14" s="13" t="s">
        <v>2706</v>
      </c>
      <c r="D14" s="13" t="s">
        <v>2713</v>
      </c>
      <c r="E14" s="14" t="n">
        <v>10</v>
      </c>
      <c r="F14" s="14" t="n">
        <v>0</v>
      </c>
      <c r="G14" s="14" t="n">
        <v>3</v>
      </c>
      <c r="H14" s="14" t="s">
        <v>396</v>
      </c>
      <c r="I14" s="14"/>
      <c r="J14" s="14"/>
      <c r="K14" s="16" t="s">
        <v>2746</v>
      </c>
      <c r="L14" s="16" t="s">
        <v>2747</v>
      </c>
      <c r="M14" s="16" t="s">
        <v>2748</v>
      </c>
      <c r="N14" s="13" t="s">
        <v>862</v>
      </c>
      <c r="O14" s="13" t="s">
        <v>863</v>
      </c>
    </row>
    <row r="15" customFormat="false" ht="29.85" hidden="false" customHeight="false" outlineLevel="0" collapsed="false">
      <c r="A15" s="13" t="s">
        <v>2749</v>
      </c>
      <c r="B15" s="14" t="s">
        <v>2750</v>
      </c>
      <c r="C15" s="13" t="s">
        <v>2706</v>
      </c>
      <c r="D15" s="13" t="s">
        <v>2751</v>
      </c>
      <c r="E15" s="14" t="n">
        <v>15</v>
      </c>
      <c r="F15" s="14" t="n">
        <v>0</v>
      </c>
      <c r="G15" s="14" t="n">
        <v>3</v>
      </c>
      <c r="H15" s="14" t="s">
        <v>396</v>
      </c>
      <c r="I15" s="14"/>
      <c r="J15" s="14"/>
      <c r="K15" s="16" t="s">
        <v>2752</v>
      </c>
      <c r="L15" s="16" t="s">
        <v>2753</v>
      </c>
      <c r="M15" s="16" t="s">
        <v>2754</v>
      </c>
      <c r="N15" s="13" t="s">
        <v>862</v>
      </c>
      <c r="O15" s="13" t="s">
        <v>863</v>
      </c>
    </row>
    <row r="16" customFormat="false" ht="29.85" hidden="false" customHeight="false" outlineLevel="0" collapsed="false">
      <c r="A16" s="13" t="s">
        <v>2755</v>
      </c>
      <c r="B16" s="14" t="s">
        <v>2756</v>
      </c>
      <c r="C16" s="13" t="s">
        <v>2757</v>
      </c>
      <c r="D16" s="13" t="s">
        <v>2758</v>
      </c>
      <c r="E16" s="14" t="n">
        <v>55</v>
      </c>
      <c r="F16" s="14" t="n">
        <v>2</v>
      </c>
      <c r="G16" s="14" t="n">
        <v>6</v>
      </c>
      <c r="H16" s="14" t="s">
        <v>396</v>
      </c>
      <c r="I16" s="14"/>
      <c r="J16" s="14" t="s">
        <v>352</v>
      </c>
      <c r="K16" s="16" t="s">
        <v>2759</v>
      </c>
      <c r="L16" s="16" t="s">
        <v>2760</v>
      </c>
      <c r="M16" s="16" t="s">
        <v>2761</v>
      </c>
      <c r="N16" s="14"/>
      <c r="O16" s="13" t="s">
        <v>863</v>
      </c>
    </row>
    <row r="17" customFormat="false" ht="29.85" hidden="false" customHeight="false" outlineLevel="0" collapsed="false">
      <c r="A17" s="13" t="s">
        <v>2762</v>
      </c>
      <c r="B17" s="14" t="s">
        <v>2763</v>
      </c>
      <c r="C17" s="13" t="s">
        <v>2757</v>
      </c>
      <c r="D17" s="13" t="s">
        <v>2758</v>
      </c>
      <c r="E17" s="14" t="n">
        <v>48</v>
      </c>
      <c r="F17" s="14" t="n">
        <v>2</v>
      </c>
      <c r="G17" s="14" t="n">
        <v>6</v>
      </c>
      <c r="H17" s="14" t="s">
        <v>352</v>
      </c>
      <c r="I17" s="14"/>
      <c r="J17" s="14" t="s">
        <v>352</v>
      </c>
      <c r="K17" s="16" t="s">
        <v>2759</v>
      </c>
      <c r="L17" s="16" t="s">
        <v>2764</v>
      </c>
      <c r="M17" s="16" t="s">
        <v>2765</v>
      </c>
      <c r="N17" s="14"/>
      <c r="O17" s="13" t="s">
        <v>863</v>
      </c>
    </row>
    <row r="18" customFormat="false" ht="29.85" hidden="false" customHeight="false" outlineLevel="0" collapsed="false">
      <c r="A18" s="13" t="s">
        <v>2766</v>
      </c>
      <c r="B18" s="14" t="s">
        <v>2767</v>
      </c>
      <c r="C18" s="13" t="s">
        <v>2757</v>
      </c>
      <c r="D18" s="13" t="s">
        <v>2758</v>
      </c>
      <c r="E18" s="14" t="n">
        <v>40</v>
      </c>
      <c r="F18" s="14" t="n">
        <v>1</v>
      </c>
      <c r="G18" s="14" t="n">
        <v>6</v>
      </c>
      <c r="H18" s="14" t="s">
        <v>352</v>
      </c>
      <c r="I18" s="14"/>
      <c r="J18" s="14" t="s">
        <v>352</v>
      </c>
      <c r="K18" s="16" t="s">
        <v>2759</v>
      </c>
      <c r="L18" s="16" t="s">
        <v>2768</v>
      </c>
      <c r="M18" s="16" t="s">
        <v>2769</v>
      </c>
      <c r="N18" s="14"/>
      <c r="O18" s="13" t="s">
        <v>863</v>
      </c>
    </row>
    <row r="19" customFormat="false" ht="29.85" hidden="false" customHeight="false" outlineLevel="0" collapsed="false">
      <c r="A19" s="13" t="s">
        <v>2770</v>
      </c>
      <c r="B19" s="14" t="s">
        <v>2771</v>
      </c>
      <c r="C19" s="13" t="s">
        <v>2693</v>
      </c>
      <c r="D19" s="13" t="s">
        <v>2707</v>
      </c>
      <c r="E19" s="14" t="n">
        <v>25</v>
      </c>
      <c r="F19" s="14" t="n">
        <v>0</v>
      </c>
      <c r="G19" s="14" t="n">
        <v>4</v>
      </c>
      <c r="H19" s="14" t="s">
        <v>396</v>
      </c>
      <c r="I19" s="14"/>
      <c r="J19" s="14"/>
      <c r="K19" s="16" t="s">
        <v>2772</v>
      </c>
      <c r="L19" s="16" t="s">
        <v>2773</v>
      </c>
      <c r="M19" s="16" t="s">
        <v>2774</v>
      </c>
      <c r="N19" s="14"/>
      <c r="O19" s="13" t="s">
        <v>863</v>
      </c>
    </row>
    <row r="20" customFormat="false" ht="29.85" hidden="false" customHeight="false" outlineLevel="0" collapsed="false">
      <c r="A20" s="13" t="s">
        <v>2775</v>
      </c>
      <c r="B20" s="14" t="s">
        <v>2776</v>
      </c>
      <c r="C20" s="13" t="s">
        <v>2777</v>
      </c>
      <c r="D20" s="13" t="s">
        <v>2724</v>
      </c>
      <c r="E20" s="14" t="n">
        <v>45</v>
      </c>
      <c r="F20" s="14" t="n">
        <v>0</v>
      </c>
      <c r="G20" s="14" t="n">
        <v>4</v>
      </c>
      <c r="H20" s="14" t="s">
        <v>396</v>
      </c>
      <c r="I20" s="13" t="s">
        <v>874</v>
      </c>
      <c r="J20" s="14"/>
      <c r="K20" s="16" t="s">
        <v>2778</v>
      </c>
      <c r="L20" s="16" t="s">
        <v>2779</v>
      </c>
      <c r="M20" s="16" t="s">
        <v>2780</v>
      </c>
      <c r="N20" s="13" t="s">
        <v>862</v>
      </c>
      <c r="O20" s="13" t="s">
        <v>863</v>
      </c>
    </row>
    <row r="21" customFormat="false" ht="29.85" hidden="false" customHeight="false" outlineLevel="0" collapsed="false">
      <c r="A21" s="13" t="s">
        <v>2781</v>
      </c>
      <c r="B21" s="14" t="s">
        <v>2782</v>
      </c>
      <c r="C21" s="13" t="s">
        <v>2777</v>
      </c>
      <c r="D21" s="13" t="s">
        <v>2783</v>
      </c>
      <c r="E21" s="14" t="n">
        <v>40</v>
      </c>
      <c r="F21" s="14" t="n">
        <v>0</v>
      </c>
      <c r="G21" s="14" t="n">
        <v>4</v>
      </c>
      <c r="H21" s="14" t="s">
        <v>396</v>
      </c>
      <c r="I21" s="13" t="s">
        <v>2733</v>
      </c>
      <c r="J21" s="14"/>
      <c r="K21" s="16" t="s">
        <v>2784</v>
      </c>
      <c r="L21" s="16" t="s">
        <v>2785</v>
      </c>
      <c r="M21" s="16" t="s">
        <v>2786</v>
      </c>
      <c r="N21" s="13" t="s">
        <v>862</v>
      </c>
      <c r="O21" s="13" t="s">
        <v>863</v>
      </c>
    </row>
    <row r="22" customFormat="false" ht="29.85" hidden="false" customHeight="false" outlineLevel="0" collapsed="false">
      <c r="A22" s="13" t="s">
        <v>2787</v>
      </c>
      <c r="B22" s="13" t="s">
        <v>2788</v>
      </c>
      <c r="C22" s="13" t="s">
        <v>2777</v>
      </c>
      <c r="D22" s="13" t="s">
        <v>2740</v>
      </c>
      <c r="E22" s="14" t="n">
        <v>50</v>
      </c>
      <c r="F22" s="14" t="n">
        <v>0</v>
      </c>
      <c r="G22" s="14" t="n">
        <v>5</v>
      </c>
      <c r="H22" s="14" t="s">
        <v>396</v>
      </c>
      <c r="I22" s="13" t="s">
        <v>2738</v>
      </c>
      <c r="J22" s="14"/>
      <c r="K22" s="16" t="s">
        <v>2789</v>
      </c>
      <c r="L22" s="16" t="s">
        <v>2790</v>
      </c>
      <c r="M22" s="16" t="s">
        <v>2791</v>
      </c>
      <c r="N22" s="13" t="s">
        <v>862</v>
      </c>
      <c r="O22" s="13" t="s">
        <v>863</v>
      </c>
    </row>
  </sheetData>
  <autoFilter ref="A4:O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19.4" hidden="false" customHeight="false" outlineLevel="0" collapsed="false">
      <c r="A1" s="9" t="s">
        <v>2792</v>
      </c>
    </row>
    <row r="2" customFormat="false" ht="15" hidden="false" customHeight="false" outlineLevel="0" collapsed="false">
      <c r="A2" s="10" t="s">
        <v>2793</v>
      </c>
    </row>
    <row r="4" customFormat="false" ht="30" hidden="false" customHeight="true" outlineLevel="0" collapsed="false">
      <c r="A4" s="11" t="s">
        <v>70</v>
      </c>
      <c r="B4" s="12" t="s">
        <v>276</v>
      </c>
      <c r="C4" s="12" t="s">
        <v>2794</v>
      </c>
      <c r="D4" s="12" t="s">
        <v>196</v>
      </c>
      <c r="E4" s="12" t="s">
        <v>280</v>
      </c>
      <c r="F4" s="12" t="s">
        <v>2795</v>
      </c>
      <c r="G4" s="12" t="s">
        <v>2796</v>
      </c>
      <c r="H4" s="12" t="s">
        <v>2797</v>
      </c>
      <c r="I4" s="12" t="s">
        <v>2798</v>
      </c>
      <c r="J4" s="12" t="s">
        <v>664</v>
      </c>
      <c r="K4" s="12" t="s">
        <v>663</v>
      </c>
      <c r="L4" s="12" t="s">
        <v>281</v>
      </c>
      <c r="M4" s="12" t="s">
        <v>83</v>
      </c>
    </row>
    <row r="5" customFormat="false" ht="29.85" hidden="false" customHeight="false" outlineLevel="0" collapsed="false">
      <c r="A5" s="13" t="s">
        <v>2799</v>
      </c>
      <c r="B5" s="14" t="s">
        <v>2800</v>
      </c>
      <c r="C5" s="13" t="s">
        <v>2691</v>
      </c>
      <c r="D5" s="16" t="s">
        <v>2801</v>
      </c>
      <c r="E5" s="16" t="s">
        <v>2802</v>
      </c>
      <c r="F5" s="16" t="s">
        <v>2803</v>
      </c>
      <c r="G5" s="16" t="s">
        <v>2804</v>
      </c>
      <c r="H5" s="16" t="s">
        <v>2805</v>
      </c>
      <c r="I5" s="16"/>
      <c r="J5" s="14"/>
      <c r="K5" s="14"/>
      <c r="L5" s="13" t="s">
        <v>862</v>
      </c>
      <c r="M5" s="13" t="s">
        <v>863</v>
      </c>
    </row>
    <row r="6" customFormat="false" ht="26.85" hidden="false" customHeight="false" outlineLevel="0" collapsed="false">
      <c r="A6" s="13" t="s">
        <v>2806</v>
      </c>
      <c r="B6" s="14" t="s">
        <v>2807</v>
      </c>
      <c r="C6" s="13" t="s">
        <v>2698</v>
      </c>
      <c r="D6" s="16" t="s">
        <v>2808</v>
      </c>
      <c r="E6" s="16" t="s">
        <v>2703</v>
      </c>
      <c r="F6" s="16" t="s">
        <v>2809</v>
      </c>
      <c r="G6" s="16" t="s">
        <v>2810</v>
      </c>
      <c r="H6" s="16" t="s">
        <v>2811</v>
      </c>
      <c r="I6" s="16"/>
      <c r="J6" s="14"/>
      <c r="K6" s="14"/>
      <c r="L6" s="13" t="s">
        <v>862</v>
      </c>
      <c r="M6" s="13" t="s">
        <v>863</v>
      </c>
    </row>
    <row r="7" customFormat="false" ht="29.85" hidden="false" customHeight="false" outlineLevel="0" collapsed="false">
      <c r="A7" s="13" t="s">
        <v>2812</v>
      </c>
      <c r="B7" s="14" t="s">
        <v>2813</v>
      </c>
      <c r="C7" s="13" t="s">
        <v>2704</v>
      </c>
      <c r="D7" s="16" t="s">
        <v>2814</v>
      </c>
      <c r="E7" s="16" t="s">
        <v>2710</v>
      </c>
      <c r="F7" s="16" t="s">
        <v>2815</v>
      </c>
      <c r="G7" s="16" t="s">
        <v>2816</v>
      </c>
      <c r="H7" s="16" t="s">
        <v>2817</v>
      </c>
      <c r="I7" s="16" t="s">
        <v>2818</v>
      </c>
      <c r="J7" s="14"/>
      <c r="K7" s="14"/>
      <c r="L7" s="13" t="s">
        <v>862</v>
      </c>
      <c r="M7" s="13" t="s">
        <v>863</v>
      </c>
    </row>
    <row r="8" customFormat="false" ht="29.85" hidden="false" customHeight="false" outlineLevel="0" collapsed="false">
      <c r="A8" s="13" t="s">
        <v>2819</v>
      </c>
      <c r="B8" s="14" t="s">
        <v>2820</v>
      </c>
      <c r="C8" s="13" t="s">
        <v>2711</v>
      </c>
      <c r="D8" s="16" t="s">
        <v>2821</v>
      </c>
      <c r="E8" s="16" t="s">
        <v>2716</v>
      </c>
      <c r="F8" s="16" t="s">
        <v>2822</v>
      </c>
      <c r="G8" s="16" t="s">
        <v>2823</v>
      </c>
      <c r="H8" s="16" t="s">
        <v>2824</v>
      </c>
      <c r="I8" s="16"/>
      <c r="J8" s="14"/>
      <c r="K8" s="14"/>
      <c r="L8" s="13" t="s">
        <v>862</v>
      </c>
      <c r="M8" s="13" t="s">
        <v>863</v>
      </c>
    </row>
    <row r="9" customFormat="false" ht="29.85" hidden="false" customHeight="false" outlineLevel="0" collapsed="false">
      <c r="A9" s="13" t="s">
        <v>2825</v>
      </c>
      <c r="B9" s="14" t="s">
        <v>2826</v>
      </c>
      <c r="C9" s="13" t="s">
        <v>2717</v>
      </c>
      <c r="D9" s="16" t="s">
        <v>2827</v>
      </c>
      <c r="E9" s="16" t="s">
        <v>2722</v>
      </c>
      <c r="F9" s="16" t="s">
        <v>2828</v>
      </c>
      <c r="G9" s="16" t="s">
        <v>2829</v>
      </c>
      <c r="H9" s="16" t="s">
        <v>2830</v>
      </c>
      <c r="I9" s="16"/>
      <c r="J9" s="14"/>
      <c r="K9" s="14"/>
      <c r="L9" s="13" t="s">
        <v>862</v>
      </c>
      <c r="M9" s="13" t="s">
        <v>863</v>
      </c>
    </row>
    <row r="10" customFormat="false" ht="29.85" hidden="false" customHeight="false" outlineLevel="0" collapsed="false">
      <c r="A10" s="13" t="s">
        <v>2831</v>
      </c>
      <c r="B10" s="14" t="s">
        <v>2832</v>
      </c>
      <c r="C10" s="13" t="s">
        <v>874</v>
      </c>
      <c r="D10" s="16" t="s">
        <v>2833</v>
      </c>
      <c r="E10" s="16" t="s">
        <v>2727</v>
      </c>
      <c r="F10" s="16" t="s">
        <v>2834</v>
      </c>
      <c r="G10" s="16"/>
      <c r="H10" s="16" t="s">
        <v>2835</v>
      </c>
      <c r="I10" s="16" t="s">
        <v>2836</v>
      </c>
      <c r="J10" s="14"/>
      <c r="K10" s="14"/>
      <c r="L10" s="13" t="s">
        <v>862</v>
      </c>
      <c r="M10" s="13" t="s">
        <v>863</v>
      </c>
    </row>
    <row r="11" customFormat="false" ht="29.85" hidden="false" customHeight="false" outlineLevel="0" collapsed="false">
      <c r="A11" s="13" t="s">
        <v>2837</v>
      </c>
      <c r="B11" s="14" t="s">
        <v>2838</v>
      </c>
      <c r="C11" s="13" t="s">
        <v>2728</v>
      </c>
      <c r="D11" s="16" t="s">
        <v>2839</v>
      </c>
      <c r="E11" s="16" t="s">
        <v>2732</v>
      </c>
      <c r="F11" s="16" t="s">
        <v>2840</v>
      </c>
      <c r="G11" s="16" t="s">
        <v>2841</v>
      </c>
      <c r="H11" s="16" t="s">
        <v>2842</v>
      </c>
      <c r="I11" s="16"/>
      <c r="J11" s="14"/>
      <c r="K11" s="14"/>
      <c r="L11" s="13" t="s">
        <v>862</v>
      </c>
      <c r="M11" s="13" t="s">
        <v>863</v>
      </c>
    </row>
    <row r="12" customFormat="false" ht="29.85" hidden="false" customHeight="false" outlineLevel="0" collapsed="false">
      <c r="A12" s="13" t="s">
        <v>2843</v>
      </c>
      <c r="B12" s="14" t="s">
        <v>2844</v>
      </c>
      <c r="C12" s="13" t="s">
        <v>2733</v>
      </c>
      <c r="D12" s="16" t="s">
        <v>2845</v>
      </c>
      <c r="E12" s="16" t="s">
        <v>2737</v>
      </c>
      <c r="F12" s="16" t="s">
        <v>2846</v>
      </c>
      <c r="G12" s="16" t="s">
        <v>1361</v>
      </c>
      <c r="H12" s="16" t="s">
        <v>2847</v>
      </c>
      <c r="I12" s="16" t="s">
        <v>2848</v>
      </c>
      <c r="J12" s="14"/>
      <c r="K12" s="14"/>
      <c r="L12" s="13" t="s">
        <v>862</v>
      </c>
      <c r="M12" s="13" t="s">
        <v>863</v>
      </c>
    </row>
    <row r="13" customFormat="false" ht="29.85" hidden="false" customHeight="false" outlineLevel="0" collapsed="false">
      <c r="A13" s="13" t="s">
        <v>2849</v>
      </c>
      <c r="B13" s="14" t="s">
        <v>2850</v>
      </c>
      <c r="C13" s="13" t="s">
        <v>2738</v>
      </c>
      <c r="D13" s="16" t="s">
        <v>2851</v>
      </c>
      <c r="E13" s="16" t="s">
        <v>2743</v>
      </c>
      <c r="F13" s="16" t="s">
        <v>2852</v>
      </c>
      <c r="G13" s="16" t="s">
        <v>2853</v>
      </c>
      <c r="H13" s="16" t="s">
        <v>2854</v>
      </c>
      <c r="I13" s="16" t="s">
        <v>2855</v>
      </c>
      <c r="J13" s="14"/>
      <c r="K13" s="14"/>
      <c r="L13" s="13" t="s">
        <v>862</v>
      </c>
      <c r="M13" s="13" t="s">
        <v>863</v>
      </c>
    </row>
    <row r="14" customFormat="false" ht="29.85" hidden="false" customHeight="false" outlineLevel="0" collapsed="false">
      <c r="A14" s="13" t="s">
        <v>2856</v>
      </c>
      <c r="B14" s="14" t="s">
        <v>2857</v>
      </c>
      <c r="C14" s="13" t="s">
        <v>2749</v>
      </c>
      <c r="D14" s="16" t="s">
        <v>2858</v>
      </c>
      <c r="E14" s="16" t="s">
        <v>2754</v>
      </c>
      <c r="F14" s="16" t="s">
        <v>2859</v>
      </c>
      <c r="G14" s="16" t="s">
        <v>2860</v>
      </c>
      <c r="H14" s="16" t="s">
        <v>2861</v>
      </c>
      <c r="I14" s="16"/>
      <c r="J14" s="14"/>
      <c r="K14" s="14"/>
      <c r="L14" s="13" t="s">
        <v>862</v>
      </c>
      <c r="M14" s="13" t="s">
        <v>863</v>
      </c>
    </row>
    <row r="15" customFormat="false" ht="29.85" hidden="false" customHeight="false" outlineLevel="0" collapsed="false">
      <c r="A15" s="13" t="s">
        <v>2862</v>
      </c>
      <c r="B15" s="14" t="s">
        <v>2863</v>
      </c>
      <c r="C15" s="13" t="s">
        <v>2744</v>
      </c>
      <c r="D15" s="16" t="s">
        <v>2864</v>
      </c>
      <c r="E15" s="16" t="s">
        <v>2865</v>
      </c>
      <c r="F15" s="16" t="s">
        <v>2866</v>
      </c>
      <c r="G15" s="16" t="s">
        <v>2823</v>
      </c>
      <c r="H15" s="16" t="s">
        <v>2867</v>
      </c>
      <c r="I15" s="16"/>
      <c r="J15" s="14"/>
      <c r="K15" s="14"/>
      <c r="L15" s="13" t="s">
        <v>862</v>
      </c>
      <c r="M15" s="13" t="s">
        <v>863</v>
      </c>
    </row>
    <row r="16" customFormat="false" ht="29.85" hidden="false" customHeight="false" outlineLevel="0" collapsed="false">
      <c r="A16" s="13" t="s">
        <v>2868</v>
      </c>
      <c r="B16" s="14" t="s">
        <v>2869</v>
      </c>
      <c r="C16" s="13" t="s">
        <v>2870</v>
      </c>
      <c r="D16" s="16" t="s">
        <v>2871</v>
      </c>
      <c r="E16" s="16" t="s">
        <v>2872</v>
      </c>
      <c r="F16" s="16" t="s">
        <v>2873</v>
      </c>
      <c r="G16" s="16" t="s">
        <v>2874</v>
      </c>
      <c r="H16" s="16" t="s">
        <v>2875</v>
      </c>
      <c r="I16" s="16" t="s">
        <v>2876</v>
      </c>
      <c r="J16" s="14"/>
      <c r="K16" s="14"/>
      <c r="L16" s="13" t="s">
        <v>862</v>
      </c>
      <c r="M16" s="13" t="s">
        <v>863</v>
      </c>
    </row>
  </sheetData>
  <autoFilter ref="A4:M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1" min="11" style="0" width="8"/>
    <col collapsed="false" customWidth="true" hidden="false" outlineLevel="0" max="12" min="12" style="0" width="10"/>
  </cols>
  <sheetData>
    <row r="1" customFormat="false" ht="19.4" hidden="false" customHeight="false" outlineLevel="0" collapsed="false">
      <c r="A1" s="9" t="s">
        <v>2877</v>
      </c>
    </row>
    <row r="2" customFormat="false" ht="15" hidden="false" customHeight="false" outlineLevel="0" collapsed="false">
      <c r="A2" s="10" t="s">
        <v>2878</v>
      </c>
    </row>
    <row r="4" customFormat="false" ht="30" hidden="false" customHeight="true" outlineLevel="0" collapsed="false">
      <c r="A4" s="11" t="s">
        <v>70</v>
      </c>
      <c r="B4" s="12" t="s">
        <v>276</v>
      </c>
      <c r="C4" s="12" t="s">
        <v>2879</v>
      </c>
      <c r="D4" s="12" t="s">
        <v>2880</v>
      </c>
      <c r="E4" s="12" t="s">
        <v>2881</v>
      </c>
      <c r="F4" s="12" t="s">
        <v>2882</v>
      </c>
      <c r="G4" s="12" t="s">
        <v>2883</v>
      </c>
      <c r="H4" s="12" t="s">
        <v>2690</v>
      </c>
      <c r="I4" s="12" t="s">
        <v>196</v>
      </c>
      <c r="J4" s="12" t="s">
        <v>280</v>
      </c>
      <c r="K4" s="12" t="s">
        <v>281</v>
      </c>
      <c r="L4" s="12" t="s">
        <v>83</v>
      </c>
    </row>
    <row r="5" customFormat="false" ht="29.85" hidden="false" customHeight="false" outlineLevel="0" collapsed="false">
      <c r="A5" s="13" t="s">
        <v>2884</v>
      </c>
      <c r="B5" s="14" t="s">
        <v>2885</v>
      </c>
      <c r="C5" s="13" t="s">
        <v>874</v>
      </c>
      <c r="D5" s="14" t="n">
        <v>30</v>
      </c>
      <c r="E5" s="14" t="n">
        <v>2</v>
      </c>
      <c r="F5" s="14" t="n">
        <v>4</v>
      </c>
      <c r="G5" s="14" t="n">
        <v>18</v>
      </c>
      <c r="H5" s="16" t="s">
        <v>2886</v>
      </c>
      <c r="I5" s="16" t="s">
        <v>2887</v>
      </c>
      <c r="J5" s="16" t="s">
        <v>2888</v>
      </c>
      <c r="K5" s="13" t="s">
        <v>862</v>
      </c>
      <c r="L5" s="13" t="s">
        <v>863</v>
      </c>
    </row>
    <row r="6" customFormat="false" ht="29.85" hidden="false" customHeight="false" outlineLevel="0" collapsed="false">
      <c r="A6" s="13" t="s">
        <v>2889</v>
      </c>
      <c r="B6" s="13" t="s">
        <v>2890</v>
      </c>
      <c r="C6" s="13" t="s">
        <v>2704</v>
      </c>
      <c r="D6" s="14" t="n">
        <v>18</v>
      </c>
      <c r="E6" s="14" t="n">
        <v>2</v>
      </c>
      <c r="F6" s="14" t="n">
        <v>5</v>
      </c>
      <c r="G6" s="14" t="n">
        <v>16</v>
      </c>
      <c r="H6" s="16" t="s">
        <v>2891</v>
      </c>
      <c r="I6" s="16" t="s">
        <v>2892</v>
      </c>
      <c r="J6" s="16" t="s">
        <v>2893</v>
      </c>
      <c r="K6" s="13" t="s">
        <v>862</v>
      </c>
      <c r="L6" s="13" t="s">
        <v>863</v>
      </c>
    </row>
    <row r="7" customFormat="false" ht="29.85" hidden="false" customHeight="false" outlineLevel="0" collapsed="false">
      <c r="A7" s="13" t="s">
        <v>2894</v>
      </c>
      <c r="B7" s="14" t="s">
        <v>2895</v>
      </c>
      <c r="C7" s="13" t="s">
        <v>2749</v>
      </c>
      <c r="D7" s="14" t="n">
        <v>22</v>
      </c>
      <c r="E7" s="14" t="n">
        <v>1</v>
      </c>
      <c r="F7" s="14" t="n">
        <v>6</v>
      </c>
      <c r="G7" s="14" t="n">
        <v>20</v>
      </c>
      <c r="H7" s="16" t="s">
        <v>2896</v>
      </c>
      <c r="I7" s="16" t="s">
        <v>2897</v>
      </c>
      <c r="J7" s="16" t="s">
        <v>2898</v>
      </c>
      <c r="K7" s="13" t="s">
        <v>862</v>
      </c>
      <c r="L7" s="13" t="s">
        <v>863</v>
      </c>
    </row>
    <row r="8" customFormat="false" ht="29.85" hidden="false" customHeight="false" outlineLevel="0" collapsed="false">
      <c r="A8" s="13" t="s">
        <v>2899</v>
      </c>
      <c r="B8" s="14" t="s">
        <v>2900</v>
      </c>
      <c r="C8" s="13" t="s">
        <v>2738</v>
      </c>
      <c r="D8" s="14" t="n">
        <v>35</v>
      </c>
      <c r="E8" s="14" t="n">
        <v>3</v>
      </c>
      <c r="F8" s="14" t="n">
        <v>4</v>
      </c>
      <c r="G8" s="14" t="n">
        <v>24</v>
      </c>
      <c r="H8" s="16" t="s">
        <v>2901</v>
      </c>
      <c r="I8" s="16" t="s">
        <v>2902</v>
      </c>
      <c r="J8" s="16" t="s">
        <v>2903</v>
      </c>
      <c r="K8" s="13" t="s">
        <v>862</v>
      </c>
      <c r="L8" s="13" t="s">
        <v>863</v>
      </c>
    </row>
    <row r="9" customFormat="false" ht="29.85" hidden="false" customHeight="false" outlineLevel="0" collapsed="false">
      <c r="A9" s="13" t="s">
        <v>2904</v>
      </c>
      <c r="B9" s="14" t="s">
        <v>2905</v>
      </c>
      <c r="C9" s="13" t="s">
        <v>2717</v>
      </c>
      <c r="D9" s="14" t="n">
        <v>12</v>
      </c>
      <c r="E9" s="14" t="n">
        <v>2</v>
      </c>
      <c r="F9" s="14" t="n">
        <v>5</v>
      </c>
      <c r="G9" s="14" t="n">
        <v>15</v>
      </c>
      <c r="H9" s="16" t="s">
        <v>2906</v>
      </c>
      <c r="I9" s="16" t="s">
        <v>2907</v>
      </c>
      <c r="J9" s="16" t="s">
        <v>2908</v>
      </c>
      <c r="K9" s="13" t="s">
        <v>862</v>
      </c>
      <c r="L9" s="13" t="s">
        <v>863</v>
      </c>
    </row>
    <row r="10" customFormat="false" ht="29.85" hidden="false" customHeight="false" outlineLevel="0" collapsed="false">
      <c r="A10" s="13" t="s">
        <v>2909</v>
      </c>
      <c r="B10" s="14" t="s">
        <v>2910</v>
      </c>
      <c r="C10" s="13" t="s">
        <v>2698</v>
      </c>
      <c r="D10" s="14" t="n">
        <v>15</v>
      </c>
      <c r="E10" s="14" t="n">
        <v>1</v>
      </c>
      <c r="F10" s="14" t="n">
        <v>5</v>
      </c>
      <c r="G10" s="14" t="n">
        <v>14</v>
      </c>
      <c r="H10" s="16" t="s">
        <v>2911</v>
      </c>
      <c r="I10" s="16" t="s">
        <v>2912</v>
      </c>
      <c r="J10" s="16" t="s">
        <v>2913</v>
      </c>
      <c r="K10" s="13" t="s">
        <v>862</v>
      </c>
      <c r="L10" s="13" t="s">
        <v>863</v>
      </c>
    </row>
  </sheetData>
  <autoFilter ref="A4:L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1" min="10" style="0" width="10"/>
  </cols>
  <sheetData>
    <row r="1" customFormat="false" ht="19.4" hidden="false" customHeight="false" outlineLevel="0" collapsed="false">
      <c r="A1" s="9" t="s">
        <v>2914</v>
      </c>
    </row>
    <row r="2" customFormat="false" ht="15" hidden="false" customHeight="false" outlineLevel="0" collapsed="false">
      <c r="A2" s="10" t="s">
        <v>2915</v>
      </c>
    </row>
    <row r="4" customFormat="false" ht="30" hidden="false" customHeight="true" outlineLevel="0" collapsed="false">
      <c r="A4" s="11" t="s">
        <v>70</v>
      </c>
      <c r="B4" s="12" t="s">
        <v>2496</v>
      </c>
      <c r="C4" s="12" t="s">
        <v>49</v>
      </c>
      <c r="D4" s="12" t="s">
        <v>346</v>
      </c>
      <c r="E4" s="12" t="s">
        <v>2916</v>
      </c>
      <c r="F4" s="12" t="s">
        <v>2917</v>
      </c>
      <c r="G4" s="12" t="s">
        <v>2918</v>
      </c>
      <c r="H4" s="12" t="s">
        <v>1104</v>
      </c>
      <c r="I4" s="12" t="s">
        <v>2919</v>
      </c>
      <c r="J4" s="12" t="s">
        <v>2920</v>
      </c>
      <c r="K4" s="12" t="s">
        <v>83</v>
      </c>
    </row>
    <row r="5" customFormat="false" ht="29.85" hidden="false" customHeight="false" outlineLevel="0" collapsed="false">
      <c r="A5" s="13" t="s">
        <v>2921</v>
      </c>
      <c r="B5" s="13" t="s">
        <v>2922</v>
      </c>
      <c r="C5" s="14" t="s">
        <v>2923</v>
      </c>
      <c r="D5" s="14" t="s">
        <v>2924</v>
      </c>
      <c r="E5" s="13" t="s">
        <v>2925</v>
      </c>
      <c r="F5" s="16" t="s">
        <v>2926</v>
      </c>
      <c r="G5" s="13" t="s">
        <v>2927</v>
      </c>
      <c r="H5" s="14"/>
      <c r="I5" s="14"/>
      <c r="J5" s="14"/>
      <c r="K5" s="13" t="s">
        <v>863</v>
      </c>
    </row>
    <row r="6" customFormat="false" ht="29.85" hidden="false" customHeight="false" outlineLevel="0" collapsed="false">
      <c r="A6" s="13" t="s">
        <v>2928</v>
      </c>
      <c r="B6" s="13" t="s">
        <v>2929</v>
      </c>
      <c r="C6" s="14" t="s">
        <v>2930</v>
      </c>
      <c r="D6" s="14" t="s">
        <v>2924</v>
      </c>
      <c r="E6" s="13" t="s">
        <v>2925</v>
      </c>
      <c r="F6" s="16" t="s">
        <v>2931</v>
      </c>
      <c r="G6" s="13" t="s">
        <v>2932</v>
      </c>
      <c r="H6" s="14"/>
      <c r="I6" s="14"/>
      <c r="J6" s="14"/>
      <c r="K6" s="13" t="s">
        <v>863</v>
      </c>
    </row>
    <row r="7" customFormat="false" ht="15" hidden="false" customHeight="false" outlineLevel="0" collapsed="false">
      <c r="A7" s="13" t="s">
        <v>2933</v>
      </c>
      <c r="B7" s="13" t="s">
        <v>2598</v>
      </c>
      <c r="C7" s="14" t="s">
        <v>2934</v>
      </c>
      <c r="D7" s="14" t="s">
        <v>2924</v>
      </c>
      <c r="E7" s="13" t="s">
        <v>2925</v>
      </c>
      <c r="F7" s="16" t="s">
        <v>2935</v>
      </c>
      <c r="G7" s="13" t="s">
        <v>2936</v>
      </c>
      <c r="H7" s="14" t="n">
        <v>2</v>
      </c>
      <c r="I7" s="13" t="s">
        <v>2937</v>
      </c>
      <c r="J7" s="14"/>
      <c r="K7" s="13" t="s">
        <v>863</v>
      </c>
    </row>
    <row r="8" customFormat="false" ht="15" hidden="false" customHeight="false" outlineLevel="0" collapsed="false">
      <c r="A8" s="13" t="s">
        <v>2938</v>
      </c>
      <c r="B8" s="13" t="s">
        <v>2939</v>
      </c>
      <c r="C8" s="14" t="s">
        <v>2940</v>
      </c>
      <c r="D8" s="14" t="s">
        <v>2924</v>
      </c>
      <c r="E8" s="13" t="s">
        <v>2925</v>
      </c>
      <c r="F8" s="16" t="s">
        <v>2941</v>
      </c>
      <c r="G8" s="13" t="s">
        <v>2942</v>
      </c>
      <c r="H8" s="14" t="n">
        <v>1</v>
      </c>
      <c r="I8" s="13" t="s">
        <v>2943</v>
      </c>
      <c r="J8" s="14"/>
      <c r="K8" s="13" t="s">
        <v>863</v>
      </c>
    </row>
    <row r="9" customFormat="false" ht="29.85" hidden="false" customHeight="false" outlineLevel="0" collapsed="false">
      <c r="A9" s="13" t="s">
        <v>2944</v>
      </c>
      <c r="B9" s="13" t="s">
        <v>2945</v>
      </c>
      <c r="C9" s="14" t="s">
        <v>2946</v>
      </c>
      <c r="D9" s="14" t="s">
        <v>2924</v>
      </c>
      <c r="E9" s="13" t="s">
        <v>2925</v>
      </c>
      <c r="F9" s="16" t="s">
        <v>2947</v>
      </c>
      <c r="G9" s="13" t="s">
        <v>2948</v>
      </c>
      <c r="H9" s="14"/>
      <c r="I9" s="14"/>
      <c r="J9" s="14"/>
      <c r="K9" s="13" t="s">
        <v>863</v>
      </c>
    </row>
    <row r="10" customFormat="false" ht="15" hidden="false" customHeight="false" outlineLevel="0" collapsed="false">
      <c r="A10" s="13" t="s">
        <v>2949</v>
      </c>
      <c r="B10" s="13" t="s">
        <v>2950</v>
      </c>
      <c r="C10" s="14" t="s">
        <v>2951</v>
      </c>
      <c r="D10" s="14" t="s">
        <v>2952</v>
      </c>
      <c r="E10" s="13" t="s">
        <v>2953</v>
      </c>
      <c r="F10" s="16" t="s">
        <v>2954</v>
      </c>
      <c r="G10" s="13" t="s">
        <v>2955</v>
      </c>
      <c r="H10" s="14"/>
      <c r="I10" s="14"/>
      <c r="J10" s="14"/>
      <c r="K10" s="13" t="s">
        <v>863</v>
      </c>
    </row>
    <row r="11" customFormat="false" ht="15" hidden="false" customHeight="false" outlineLevel="0" collapsed="false">
      <c r="A11" s="13" t="s">
        <v>2956</v>
      </c>
      <c r="B11" s="13" t="s">
        <v>2586</v>
      </c>
      <c r="C11" s="14" t="s">
        <v>2957</v>
      </c>
      <c r="D11" s="14" t="s">
        <v>2952</v>
      </c>
      <c r="E11" s="13" t="s">
        <v>2953</v>
      </c>
      <c r="F11" s="16" t="s">
        <v>2958</v>
      </c>
      <c r="G11" s="13" t="s">
        <v>2959</v>
      </c>
      <c r="H11" s="14"/>
      <c r="I11" s="14"/>
      <c r="J11" s="14"/>
      <c r="K11" s="13" t="s">
        <v>863</v>
      </c>
    </row>
    <row r="12" customFormat="false" ht="15" hidden="false" customHeight="false" outlineLevel="0" collapsed="false">
      <c r="A12" s="13" t="s">
        <v>2960</v>
      </c>
      <c r="B12" s="13" t="s">
        <v>2961</v>
      </c>
      <c r="C12" s="14" t="s">
        <v>2962</v>
      </c>
      <c r="D12" s="14" t="s">
        <v>2952</v>
      </c>
      <c r="E12" s="13" t="s">
        <v>2953</v>
      </c>
      <c r="F12" s="16" t="s">
        <v>2963</v>
      </c>
      <c r="G12" s="13" t="s">
        <v>2964</v>
      </c>
      <c r="H12" s="14"/>
      <c r="I12" s="14"/>
      <c r="J12" s="14"/>
      <c r="K12" s="13" t="s">
        <v>863</v>
      </c>
    </row>
    <row r="13" customFormat="false" ht="15" hidden="false" customHeight="false" outlineLevel="0" collapsed="false">
      <c r="A13" s="13" t="s">
        <v>2965</v>
      </c>
      <c r="B13" s="13" t="s">
        <v>2966</v>
      </c>
      <c r="C13" s="14" t="s">
        <v>2967</v>
      </c>
      <c r="D13" s="14" t="s">
        <v>2968</v>
      </c>
      <c r="E13" s="13" t="s">
        <v>2925</v>
      </c>
      <c r="F13" s="16" t="s">
        <v>2969</v>
      </c>
      <c r="G13" s="13" t="s">
        <v>2970</v>
      </c>
      <c r="H13" s="14"/>
      <c r="I13" s="14"/>
      <c r="J13" s="14"/>
      <c r="K13" s="13" t="s">
        <v>863</v>
      </c>
    </row>
    <row r="14" customFormat="false" ht="15" hidden="false" customHeight="false" outlineLevel="0" collapsed="false">
      <c r="A14" s="13" t="s">
        <v>2971</v>
      </c>
      <c r="B14" s="13" t="s">
        <v>2972</v>
      </c>
      <c r="C14" s="14" t="s">
        <v>2973</v>
      </c>
      <c r="D14" s="14" t="s">
        <v>2968</v>
      </c>
      <c r="E14" s="13" t="s">
        <v>2925</v>
      </c>
      <c r="F14" s="16" t="s">
        <v>2974</v>
      </c>
      <c r="G14" s="13" t="s">
        <v>2975</v>
      </c>
      <c r="H14" s="14" t="n">
        <v>2</v>
      </c>
      <c r="I14" s="13" t="s">
        <v>2976</v>
      </c>
      <c r="J14" s="14"/>
      <c r="K14" s="13" t="s">
        <v>863</v>
      </c>
    </row>
    <row r="15" customFormat="false" ht="15" hidden="false" customHeight="false" outlineLevel="0" collapsed="false">
      <c r="A15" s="13" t="s">
        <v>2977</v>
      </c>
      <c r="B15" s="13" t="s">
        <v>2978</v>
      </c>
      <c r="C15" s="14" t="s">
        <v>2979</v>
      </c>
      <c r="D15" s="14" t="s">
        <v>2968</v>
      </c>
      <c r="E15" s="13" t="s">
        <v>2925</v>
      </c>
      <c r="F15" s="16" t="s">
        <v>2980</v>
      </c>
      <c r="G15" s="13" t="s">
        <v>2981</v>
      </c>
      <c r="H15" s="14" t="n">
        <v>1</v>
      </c>
      <c r="I15" s="13" t="s">
        <v>2982</v>
      </c>
      <c r="J15" s="14"/>
      <c r="K15" s="13" t="s">
        <v>863</v>
      </c>
    </row>
    <row r="16" customFormat="false" ht="15" hidden="false" customHeight="false" outlineLevel="0" collapsed="false">
      <c r="A16" s="13" t="s">
        <v>2983</v>
      </c>
      <c r="B16" s="13" t="s">
        <v>2984</v>
      </c>
      <c r="C16" s="14" t="s">
        <v>2985</v>
      </c>
      <c r="D16" s="14" t="s">
        <v>2968</v>
      </c>
      <c r="E16" s="13" t="s">
        <v>2925</v>
      </c>
      <c r="F16" s="16" t="s">
        <v>2986</v>
      </c>
      <c r="G16" s="13" t="s">
        <v>2987</v>
      </c>
      <c r="H16" s="14"/>
      <c r="I16" s="14"/>
      <c r="J16" s="14"/>
      <c r="K16" s="13" t="s">
        <v>863</v>
      </c>
    </row>
    <row r="17" customFormat="false" ht="15" hidden="false" customHeight="false" outlineLevel="0" collapsed="false">
      <c r="A17" s="13" t="s">
        <v>2988</v>
      </c>
      <c r="B17" s="13" t="s">
        <v>2989</v>
      </c>
      <c r="C17" s="14" t="s">
        <v>2990</v>
      </c>
      <c r="D17" s="14" t="s">
        <v>2968</v>
      </c>
      <c r="E17" s="13" t="s">
        <v>2925</v>
      </c>
      <c r="F17" s="16" t="s">
        <v>2991</v>
      </c>
      <c r="G17" s="13" t="s">
        <v>2992</v>
      </c>
      <c r="H17" s="14"/>
      <c r="I17" s="14"/>
      <c r="J17" s="14"/>
      <c r="K17" s="13" t="s">
        <v>863</v>
      </c>
    </row>
    <row r="18" customFormat="false" ht="15" hidden="false" customHeight="false" outlineLevel="0" collapsed="false">
      <c r="A18" s="13" t="s">
        <v>2993</v>
      </c>
      <c r="B18" s="13" t="s">
        <v>2994</v>
      </c>
      <c r="C18" s="14" t="s">
        <v>2995</v>
      </c>
      <c r="D18" s="14" t="s">
        <v>2968</v>
      </c>
      <c r="E18" s="13" t="s">
        <v>2925</v>
      </c>
      <c r="F18" s="16" t="s">
        <v>2996</v>
      </c>
      <c r="G18" s="13" t="s">
        <v>2997</v>
      </c>
      <c r="H18" s="14"/>
      <c r="I18" s="14"/>
      <c r="J18" s="14"/>
      <c r="K18" s="13" t="s">
        <v>863</v>
      </c>
    </row>
    <row r="19" customFormat="false" ht="15" hidden="false" customHeight="false" outlineLevel="0" collapsed="false">
      <c r="A19" s="13" t="s">
        <v>2998</v>
      </c>
      <c r="B19" s="13" t="s">
        <v>2999</v>
      </c>
      <c r="C19" s="14" t="s">
        <v>3000</v>
      </c>
      <c r="D19" s="14" t="s">
        <v>2968</v>
      </c>
      <c r="E19" s="13" t="s">
        <v>2925</v>
      </c>
      <c r="F19" s="16" t="s">
        <v>3001</v>
      </c>
      <c r="G19" s="13" t="s">
        <v>3002</v>
      </c>
      <c r="H19" s="14"/>
      <c r="I19" s="14"/>
      <c r="J19" s="14"/>
      <c r="K19" s="13" t="s">
        <v>863</v>
      </c>
    </row>
    <row r="20" customFormat="false" ht="15" hidden="false" customHeight="false" outlineLevel="0" collapsed="false">
      <c r="A20" s="13" t="s">
        <v>3003</v>
      </c>
      <c r="B20" s="13" t="s">
        <v>2598</v>
      </c>
      <c r="C20" s="14" t="s">
        <v>3004</v>
      </c>
      <c r="D20" s="14" t="s">
        <v>3005</v>
      </c>
      <c r="E20" s="13" t="s">
        <v>2925</v>
      </c>
      <c r="F20" s="16" t="s">
        <v>3006</v>
      </c>
      <c r="G20" s="13" t="s">
        <v>3007</v>
      </c>
      <c r="H20" s="14"/>
      <c r="I20" s="14"/>
      <c r="J20" s="14"/>
      <c r="K20" s="13" t="s">
        <v>863</v>
      </c>
    </row>
    <row r="21" customFormat="false" ht="29.85" hidden="false" customHeight="false" outlineLevel="0" collapsed="false">
      <c r="A21" s="13" t="s">
        <v>3008</v>
      </c>
      <c r="B21" s="13" t="s">
        <v>3009</v>
      </c>
      <c r="C21" s="14" t="s">
        <v>3010</v>
      </c>
      <c r="D21" s="14" t="s">
        <v>3005</v>
      </c>
      <c r="E21" s="13" t="s">
        <v>2925</v>
      </c>
      <c r="F21" s="16" t="s">
        <v>3011</v>
      </c>
      <c r="G21" s="13" t="s">
        <v>3012</v>
      </c>
      <c r="H21" s="14"/>
      <c r="I21" s="14"/>
      <c r="J21" s="14"/>
      <c r="K21" s="13" t="s">
        <v>863</v>
      </c>
    </row>
    <row r="22" customFormat="false" ht="15" hidden="false" customHeight="false" outlineLevel="0" collapsed="false">
      <c r="A22" s="13" t="s">
        <v>3013</v>
      </c>
      <c r="B22" s="13" t="s">
        <v>3014</v>
      </c>
      <c r="C22" s="14" t="s">
        <v>3015</v>
      </c>
      <c r="D22" s="14" t="s">
        <v>3016</v>
      </c>
      <c r="E22" s="13" t="s">
        <v>2925</v>
      </c>
      <c r="F22" s="16" t="s">
        <v>3017</v>
      </c>
      <c r="G22" s="13" t="s">
        <v>3018</v>
      </c>
      <c r="H22" s="14"/>
      <c r="I22" s="14"/>
      <c r="J22" s="14"/>
      <c r="K22" s="13" t="s">
        <v>863</v>
      </c>
    </row>
    <row r="23" customFormat="false" ht="15" hidden="false" customHeight="false" outlineLevel="0" collapsed="false">
      <c r="A23" s="13" t="s">
        <v>3019</v>
      </c>
      <c r="B23" s="13" t="s">
        <v>3020</v>
      </c>
      <c r="C23" s="14" t="s">
        <v>3021</v>
      </c>
      <c r="D23" s="14" t="s">
        <v>3016</v>
      </c>
      <c r="E23" s="13" t="s">
        <v>2925</v>
      </c>
      <c r="F23" s="16" t="s">
        <v>3022</v>
      </c>
      <c r="G23" s="13" t="s">
        <v>3023</v>
      </c>
      <c r="H23" s="14"/>
      <c r="I23" s="14"/>
      <c r="J23" s="14"/>
      <c r="K23" s="13" t="s">
        <v>863</v>
      </c>
    </row>
    <row r="24" customFormat="false" ht="15" hidden="false" customHeight="false" outlineLevel="0" collapsed="false">
      <c r="A24" s="13" t="s">
        <v>3024</v>
      </c>
      <c r="B24" s="13" t="s">
        <v>3025</v>
      </c>
      <c r="C24" s="14" t="s">
        <v>3026</v>
      </c>
      <c r="D24" s="14" t="s">
        <v>3027</v>
      </c>
      <c r="E24" s="13" t="s">
        <v>2953</v>
      </c>
      <c r="F24" s="16" t="s">
        <v>3028</v>
      </c>
      <c r="G24" s="13" t="s">
        <v>3029</v>
      </c>
      <c r="H24" s="14"/>
      <c r="I24" s="14"/>
      <c r="J24" s="14"/>
      <c r="K24" s="13" t="s">
        <v>863</v>
      </c>
    </row>
    <row r="25" customFormat="false" ht="15" hidden="false" customHeight="false" outlineLevel="0" collapsed="false">
      <c r="A25" s="13" t="s">
        <v>3030</v>
      </c>
      <c r="B25" s="13" t="s">
        <v>3031</v>
      </c>
      <c r="C25" s="14" t="s">
        <v>3032</v>
      </c>
      <c r="D25" s="14" t="s">
        <v>3027</v>
      </c>
      <c r="E25" s="13" t="s">
        <v>2953</v>
      </c>
      <c r="F25" s="16" t="s">
        <v>3033</v>
      </c>
      <c r="G25" s="13" t="s">
        <v>3034</v>
      </c>
      <c r="H25" s="14"/>
      <c r="I25" s="14"/>
      <c r="J25" s="14"/>
      <c r="K25" s="13" t="s">
        <v>863</v>
      </c>
    </row>
    <row r="26" customFormat="false" ht="15" hidden="false" customHeight="false" outlineLevel="0" collapsed="false">
      <c r="A26" s="13" t="s">
        <v>3035</v>
      </c>
      <c r="B26" s="13" t="s">
        <v>3036</v>
      </c>
      <c r="C26" s="14" t="s">
        <v>3037</v>
      </c>
      <c r="D26" s="14" t="s">
        <v>3038</v>
      </c>
      <c r="E26" s="13" t="s">
        <v>3039</v>
      </c>
      <c r="F26" s="16" t="s">
        <v>3040</v>
      </c>
      <c r="G26" s="13" t="s">
        <v>3041</v>
      </c>
      <c r="H26" s="14"/>
      <c r="I26" s="14"/>
      <c r="J26" s="19" t="b">
        <f aca="false">TRUE()</f>
        <v>1</v>
      </c>
      <c r="K26" s="13" t="s">
        <v>863</v>
      </c>
    </row>
    <row r="27" customFormat="false" ht="15" hidden="false" customHeight="false" outlineLevel="0" collapsed="false">
      <c r="A27" s="13" t="s">
        <v>3042</v>
      </c>
      <c r="B27" s="13" t="s">
        <v>3043</v>
      </c>
      <c r="C27" s="14" t="s">
        <v>3044</v>
      </c>
      <c r="D27" s="14" t="s">
        <v>3038</v>
      </c>
      <c r="E27" s="13" t="s">
        <v>3039</v>
      </c>
      <c r="F27" s="16" t="s">
        <v>3045</v>
      </c>
      <c r="G27" s="13" t="s">
        <v>3046</v>
      </c>
      <c r="H27" s="14"/>
      <c r="I27" s="14"/>
      <c r="J27" s="19" t="b">
        <f aca="false">TRUE()</f>
        <v>1</v>
      </c>
      <c r="K27" s="13" t="s">
        <v>863</v>
      </c>
    </row>
    <row r="28" customFormat="false" ht="15" hidden="false" customHeight="false" outlineLevel="0" collapsed="false">
      <c r="A28" s="13" t="s">
        <v>3047</v>
      </c>
      <c r="B28" s="13" t="s">
        <v>3048</v>
      </c>
      <c r="C28" s="14" t="s">
        <v>3049</v>
      </c>
      <c r="D28" s="14" t="s">
        <v>3038</v>
      </c>
      <c r="E28" s="13" t="s">
        <v>3039</v>
      </c>
      <c r="F28" s="16" t="s">
        <v>3050</v>
      </c>
      <c r="G28" s="13" t="s">
        <v>3051</v>
      </c>
      <c r="H28" s="14"/>
      <c r="I28" s="14"/>
      <c r="J28" s="19" t="b">
        <f aca="false">TRUE()</f>
        <v>1</v>
      </c>
      <c r="K28" s="13" t="s">
        <v>863</v>
      </c>
    </row>
    <row r="29" customFormat="false" ht="15" hidden="false" customHeight="false" outlineLevel="0" collapsed="false">
      <c r="A29" s="13" t="s">
        <v>3052</v>
      </c>
      <c r="B29" s="13" t="s">
        <v>3053</v>
      </c>
      <c r="C29" s="14" t="s">
        <v>3054</v>
      </c>
      <c r="D29" s="14" t="s">
        <v>3038</v>
      </c>
      <c r="E29" s="13" t="s">
        <v>3039</v>
      </c>
      <c r="F29" s="16" t="s">
        <v>3055</v>
      </c>
      <c r="G29" s="13" t="s">
        <v>3056</v>
      </c>
      <c r="H29" s="14"/>
      <c r="I29" s="14"/>
      <c r="J29" s="19" t="b">
        <f aca="false">TRUE()</f>
        <v>1</v>
      </c>
      <c r="K29" s="13" t="s">
        <v>863</v>
      </c>
    </row>
    <row r="30" customFormat="false" ht="15" hidden="false" customHeight="false" outlineLevel="0" collapsed="false">
      <c r="A30" s="13" t="s">
        <v>3057</v>
      </c>
      <c r="B30" s="13" t="s">
        <v>3058</v>
      </c>
      <c r="C30" s="14" t="s">
        <v>3059</v>
      </c>
      <c r="D30" s="14" t="s">
        <v>3038</v>
      </c>
      <c r="E30" s="13" t="s">
        <v>3039</v>
      </c>
      <c r="F30" s="16" t="s">
        <v>3060</v>
      </c>
      <c r="G30" s="13" t="s">
        <v>3061</v>
      </c>
      <c r="H30" s="14"/>
      <c r="I30" s="14"/>
      <c r="J30" s="19" t="b">
        <f aca="false">TRUE()</f>
        <v>1</v>
      </c>
      <c r="K30" s="13" t="s">
        <v>863</v>
      </c>
    </row>
    <row r="31" customFormat="false" ht="15" hidden="false" customHeight="false" outlineLevel="0" collapsed="false">
      <c r="A31" s="13" t="s">
        <v>3062</v>
      </c>
      <c r="B31" s="13" t="s">
        <v>3063</v>
      </c>
      <c r="C31" s="14" t="s">
        <v>3064</v>
      </c>
      <c r="D31" s="14" t="s">
        <v>3038</v>
      </c>
      <c r="E31" s="13" t="s">
        <v>3039</v>
      </c>
      <c r="F31" s="16" t="s">
        <v>3065</v>
      </c>
      <c r="G31" s="13" t="s">
        <v>3066</v>
      </c>
      <c r="H31" s="14"/>
      <c r="I31" s="14"/>
      <c r="J31" s="19" t="b">
        <f aca="false">TRUE()</f>
        <v>1</v>
      </c>
      <c r="K31" s="13" t="s">
        <v>863</v>
      </c>
    </row>
    <row r="32" customFormat="false" ht="29.85" hidden="false" customHeight="false" outlineLevel="0" collapsed="false">
      <c r="A32" s="13" t="s">
        <v>3067</v>
      </c>
      <c r="B32" s="13" t="s">
        <v>3068</v>
      </c>
      <c r="C32" s="14" t="s">
        <v>3069</v>
      </c>
      <c r="D32" s="14" t="s">
        <v>3027</v>
      </c>
      <c r="E32" s="13" t="s">
        <v>2953</v>
      </c>
      <c r="F32" s="16" t="s">
        <v>3070</v>
      </c>
      <c r="G32" s="13" t="s">
        <v>3071</v>
      </c>
      <c r="H32" s="14"/>
      <c r="I32" s="14"/>
      <c r="J32" s="14"/>
      <c r="K32" s="13" t="s">
        <v>863</v>
      </c>
    </row>
    <row r="33" customFormat="false" ht="29.85" hidden="false" customHeight="false" outlineLevel="0" collapsed="false">
      <c r="A33" s="13" t="s">
        <v>3072</v>
      </c>
      <c r="B33" s="13" t="s">
        <v>2551</v>
      </c>
      <c r="C33" s="14" t="s">
        <v>3073</v>
      </c>
      <c r="D33" s="14" t="s">
        <v>2968</v>
      </c>
      <c r="E33" s="13" t="s">
        <v>2953</v>
      </c>
      <c r="F33" s="16" t="s">
        <v>3074</v>
      </c>
      <c r="G33" s="13" t="s">
        <v>3075</v>
      </c>
      <c r="H33" s="14"/>
      <c r="I33" s="14"/>
      <c r="J33" s="14"/>
      <c r="K33" s="13" t="s">
        <v>863</v>
      </c>
    </row>
  </sheetData>
  <autoFilter ref="A4:K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9.4" hidden="false" customHeight="false" outlineLevel="0" collapsed="false">
      <c r="A1" s="9" t="s">
        <v>3076</v>
      </c>
    </row>
    <row r="2" customFormat="false" ht="15" hidden="false" customHeight="false" outlineLevel="0" collapsed="false">
      <c r="A2" s="2" t="s">
        <v>3077</v>
      </c>
    </row>
    <row r="4" customFormat="false" ht="30" hidden="false" customHeight="true" outlineLevel="0" collapsed="false">
      <c r="A4" s="12" t="s">
        <v>3078</v>
      </c>
      <c r="B4" s="12" t="s">
        <v>3079</v>
      </c>
      <c r="C4" s="12" t="s">
        <v>3080</v>
      </c>
      <c r="D4" s="12" t="s">
        <v>3081</v>
      </c>
      <c r="E4" s="12" t="s">
        <v>3082</v>
      </c>
    </row>
    <row r="5" customFormat="false" ht="15" hidden="false" customHeight="false" outlineLevel="0" collapsed="false">
      <c r="A5" s="14" t="s">
        <v>3083</v>
      </c>
      <c r="B5" s="14" t="n">
        <v>0</v>
      </c>
      <c r="C5" s="13" t="s">
        <v>3084</v>
      </c>
      <c r="D5" s="14"/>
      <c r="E5" s="13" t="s">
        <v>3085</v>
      </c>
    </row>
    <row r="6" customFormat="false" ht="15" hidden="false" customHeight="false" outlineLevel="0" collapsed="false">
      <c r="A6" s="14" t="s">
        <v>3083</v>
      </c>
      <c r="B6" s="14" t="n">
        <v>1</v>
      </c>
      <c r="C6" s="13" t="s">
        <v>3086</v>
      </c>
      <c r="D6" s="14"/>
      <c r="E6" s="13" t="s">
        <v>3085</v>
      </c>
    </row>
    <row r="7" customFormat="false" ht="15" hidden="false" customHeight="false" outlineLevel="0" collapsed="false">
      <c r="A7" s="14" t="s">
        <v>3083</v>
      </c>
      <c r="B7" s="14" t="n">
        <v>2</v>
      </c>
      <c r="C7" s="13" t="s">
        <v>59</v>
      </c>
      <c r="D7" s="14"/>
      <c r="E7" s="13" t="s">
        <v>3085</v>
      </c>
    </row>
    <row r="8" customFormat="false" ht="15" hidden="false" customHeight="false" outlineLevel="0" collapsed="false">
      <c r="A8" s="14" t="s">
        <v>3083</v>
      </c>
      <c r="B8" s="14" t="n">
        <v>3</v>
      </c>
      <c r="C8" s="13" t="s">
        <v>666</v>
      </c>
      <c r="D8" s="14"/>
      <c r="E8" s="13" t="s">
        <v>3085</v>
      </c>
    </row>
    <row r="9" customFormat="false" ht="15" hidden="false" customHeight="false" outlineLevel="0" collapsed="false">
      <c r="A9" s="14" t="s">
        <v>3083</v>
      </c>
      <c r="B9" s="14" t="n">
        <v>4</v>
      </c>
      <c r="C9" s="13" t="s">
        <v>3084</v>
      </c>
      <c r="D9" s="14"/>
      <c r="E9" s="13" t="s">
        <v>3085</v>
      </c>
    </row>
    <row r="10" customFormat="false" ht="15" hidden="false" customHeight="false" outlineLevel="0" collapsed="false">
      <c r="A10" s="14" t="s">
        <v>3083</v>
      </c>
      <c r="B10" s="14" t="n">
        <v>5</v>
      </c>
      <c r="C10" s="13" t="s">
        <v>1106</v>
      </c>
      <c r="D10" s="14"/>
      <c r="E10" s="13" t="s">
        <v>3085</v>
      </c>
    </row>
    <row r="11" customFormat="false" ht="15" hidden="false" customHeight="false" outlineLevel="0" collapsed="false">
      <c r="A11" s="14" t="s">
        <v>3083</v>
      </c>
      <c r="B11" s="14" t="n">
        <v>6</v>
      </c>
      <c r="C11" s="13" t="s">
        <v>3086</v>
      </c>
      <c r="D11" s="14"/>
      <c r="E11" s="13" t="s">
        <v>3085</v>
      </c>
    </row>
    <row r="12" customFormat="false" ht="15" hidden="false" customHeight="false" outlineLevel="0" collapsed="false">
      <c r="A12" s="14" t="s">
        <v>3083</v>
      </c>
      <c r="B12" s="14" t="n">
        <v>7</v>
      </c>
      <c r="C12" s="13" t="s">
        <v>666</v>
      </c>
      <c r="D12" s="14"/>
      <c r="E12" s="13" t="s">
        <v>3085</v>
      </c>
    </row>
    <row r="13" customFormat="false" ht="15" hidden="false" customHeight="false" outlineLevel="0" collapsed="false">
      <c r="A13" s="14" t="s">
        <v>3083</v>
      </c>
      <c r="B13" s="14" t="n">
        <v>8</v>
      </c>
      <c r="C13" s="13" t="s">
        <v>3084</v>
      </c>
      <c r="D13" s="14"/>
      <c r="E13" s="13" t="s">
        <v>3085</v>
      </c>
    </row>
    <row r="14" customFormat="false" ht="15" hidden="false" customHeight="false" outlineLevel="0" collapsed="false">
      <c r="A14" s="14" t="s">
        <v>3083</v>
      </c>
      <c r="B14" s="14" t="n">
        <v>9</v>
      </c>
      <c r="C14" s="13" t="s">
        <v>3086</v>
      </c>
      <c r="D14" s="14"/>
      <c r="E14" s="13" t="s">
        <v>3085</v>
      </c>
    </row>
    <row r="15" customFormat="false" ht="15" hidden="false" customHeight="false" outlineLevel="0" collapsed="false">
      <c r="A15" s="14" t="s">
        <v>3083</v>
      </c>
      <c r="B15" s="14" t="n">
        <v>10</v>
      </c>
      <c r="C15" s="13" t="s">
        <v>59</v>
      </c>
      <c r="D15" s="14"/>
      <c r="E15" s="13" t="s">
        <v>3085</v>
      </c>
    </row>
    <row r="16" customFormat="false" ht="15" hidden="false" customHeight="false" outlineLevel="0" collapsed="false">
      <c r="A16" s="14" t="s">
        <v>3083</v>
      </c>
      <c r="B16" s="14" t="n">
        <v>11</v>
      </c>
      <c r="C16" s="13" t="s">
        <v>3086</v>
      </c>
      <c r="D16" s="14"/>
      <c r="E16" s="13" t="s">
        <v>3085</v>
      </c>
    </row>
    <row r="17" customFormat="false" ht="15" hidden="false" customHeight="false" outlineLevel="0" collapsed="false">
      <c r="A17" s="14" t="s">
        <v>3083</v>
      </c>
      <c r="B17" s="14" t="n">
        <v>12</v>
      </c>
      <c r="C17" s="13" t="s">
        <v>3084</v>
      </c>
      <c r="D17" s="14"/>
      <c r="E17" s="13" t="s">
        <v>3085</v>
      </c>
    </row>
    <row r="18" customFormat="false" ht="15" hidden="false" customHeight="false" outlineLevel="0" collapsed="false">
      <c r="A18" s="14" t="s">
        <v>3083</v>
      </c>
      <c r="B18" s="14" t="n">
        <v>13</v>
      </c>
      <c r="C18" s="13" t="s">
        <v>1106</v>
      </c>
      <c r="D18" s="14"/>
      <c r="E18" s="13" t="s">
        <v>3085</v>
      </c>
    </row>
    <row r="19" customFormat="false" ht="15" hidden="false" customHeight="false" outlineLevel="0" collapsed="false">
      <c r="A19" s="14" t="s">
        <v>3083</v>
      </c>
      <c r="B19" s="14" t="n">
        <v>14</v>
      </c>
      <c r="C19" s="13" t="s">
        <v>666</v>
      </c>
      <c r="D19" s="14"/>
      <c r="E19" s="13" t="s">
        <v>3085</v>
      </c>
    </row>
    <row r="20" customFormat="false" ht="15" hidden="false" customHeight="false" outlineLevel="0" collapsed="false">
      <c r="A20" s="14" t="s">
        <v>3083</v>
      </c>
      <c r="B20" s="14" t="n">
        <v>15</v>
      </c>
      <c r="C20" s="13" t="s">
        <v>3087</v>
      </c>
      <c r="D20" s="14"/>
      <c r="E20" s="13" t="s">
        <v>3085</v>
      </c>
    </row>
    <row r="21" customFormat="false" ht="15" hidden="false" customHeight="false" outlineLevel="0" collapsed="false">
      <c r="A21" s="14" t="s">
        <v>3083</v>
      </c>
      <c r="B21" s="14" t="n">
        <v>16</v>
      </c>
      <c r="C21" s="13" t="s">
        <v>3084</v>
      </c>
      <c r="D21" s="14"/>
      <c r="E21" s="13" t="s">
        <v>3085</v>
      </c>
    </row>
    <row r="22" customFormat="false" ht="15" hidden="false" customHeight="false" outlineLevel="0" collapsed="false">
      <c r="A22" s="14" t="s">
        <v>3083</v>
      </c>
      <c r="B22" s="14" t="n">
        <v>17</v>
      </c>
      <c r="C22" s="13" t="s">
        <v>3086</v>
      </c>
      <c r="D22" s="14"/>
      <c r="E22" s="13" t="s">
        <v>3085</v>
      </c>
    </row>
    <row r="23" customFormat="false" ht="15" hidden="false" customHeight="false" outlineLevel="0" collapsed="false">
      <c r="A23" s="14" t="s">
        <v>3083</v>
      </c>
      <c r="B23" s="14" t="n">
        <v>18</v>
      </c>
      <c r="C23" s="13" t="s">
        <v>59</v>
      </c>
      <c r="D23" s="14"/>
      <c r="E23" s="13" t="s">
        <v>3085</v>
      </c>
    </row>
    <row r="24" customFormat="false" ht="15" hidden="false" customHeight="false" outlineLevel="0" collapsed="false">
      <c r="A24" s="14" t="s">
        <v>3083</v>
      </c>
      <c r="B24" s="14" t="n">
        <v>19</v>
      </c>
      <c r="C24" s="13" t="s">
        <v>3086</v>
      </c>
      <c r="D24" s="14"/>
      <c r="E24" s="13" t="s">
        <v>3085</v>
      </c>
    </row>
    <row r="25" customFormat="false" ht="15" hidden="false" customHeight="false" outlineLevel="0" collapsed="false">
      <c r="A25" s="14" t="s">
        <v>3083</v>
      </c>
      <c r="B25" s="14" t="n">
        <v>20</v>
      </c>
      <c r="C25" s="13" t="s">
        <v>3084</v>
      </c>
      <c r="D25" s="14"/>
      <c r="E25" s="13" t="s">
        <v>3085</v>
      </c>
    </row>
    <row r="26" customFormat="false" ht="15" hidden="false" customHeight="false" outlineLevel="0" collapsed="false">
      <c r="A26" s="14" t="s">
        <v>3083</v>
      </c>
      <c r="B26" s="14" t="n">
        <v>21</v>
      </c>
      <c r="C26" s="13" t="s">
        <v>1106</v>
      </c>
      <c r="D26" s="14"/>
      <c r="E26" s="13" t="s">
        <v>3085</v>
      </c>
    </row>
    <row r="27" customFormat="false" ht="15" hidden="false" customHeight="false" outlineLevel="0" collapsed="false">
      <c r="A27" s="14" t="s">
        <v>3083</v>
      </c>
      <c r="B27" s="14" t="n">
        <v>22</v>
      </c>
      <c r="C27" s="13" t="s">
        <v>3086</v>
      </c>
      <c r="D27" s="14"/>
      <c r="E27" s="13" t="s">
        <v>3085</v>
      </c>
    </row>
    <row r="28" customFormat="false" ht="15" hidden="false" customHeight="false" outlineLevel="0" collapsed="false">
      <c r="A28" s="14" t="s">
        <v>3083</v>
      </c>
      <c r="B28" s="14" t="n">
        <v>23</v>
      </c>
      <c r="C28" s="13" t="s">
        <v>666</v>
      </c>
      <c r="D28" s="14"/>
      <c r="E28" s="13" t="s">
        <v>3085</v>
      </c>
    </row>
    <row r="29" customFormat="false" ht="15" hidden="false" customHeight="false" outlineLevel="0" collapsed="false">
      <c r="A29" s="14" t="s">
        <v>3088</v>
      </c>
      <c r="B29" s="14" t="n">
        <v>0</v>
      </c>
      <c r="C29" s="13" t="s">
        <v>3089</v>
      </c>
      <c r="D29" s="14"/>
      <c r="E29" s="13" t="s">
        <v>3085</v>
      </c>
    </row>
    <row r="30" customFormat="false" ht="15" hidden="false" customHeight="false" outlineLevel="0" collapsed="false">
      <c r="A30" s="14" t="s">
        <v>3088</v>
      </c>
      <c r="B30" s="14" t="n">
        <v>1</v>
      </c>
      <c r="C30" s="13" t="s">
        <v>3090</v>
      </c>
      <c r="D30" s="13" t="s">
        <v>201</v>
      </c>
      <c r="E30" s="13" t="s">
        <v>3085</v>
      </c>
    </row>
    <row r="31" customFormat="false" ht="15" hidden="false" customHeight="false" outlineLevel="0" collapsed="false">
      <c r="A31" s="14" t="s">
        <v>3088</v>
      </c>
      <c r="B31" s="14" t="n">
        <v>2</v>
      </c>
      <c r="C31" s="13" t="s">
        <v>3090</v>
      </c>
      <c r="D31" s="13" t="s">
        <v>213</v>
      </c>
      <c r="E31" s="13" t="s">
        <v>3085</v>
      </c>
    </row>
    <row r="32" customFormat="false" ht="15" hidden="false" customHeight="false" outlineLevel="0" collapsed="false">
      <c r="A32" s="14" t="s">
        <v>3088</v>
      </c>
      <c r="B32" s="14" t="n">
        <v>3</v>
      </c>
      <c r="C32" s="13" t="s">
        <v>3091</v>
      </c>
      <c r="D32" s="14"/>
      <c r="E32" s="13" t="s">
        <v>3085</v>
      </c>
    </row>
    <row r="33" customFormat="false" ht="15" hidden="false" customHeight="false" outlineLevel="0" collapsed="false">
      <c r="A33" s="14" t="s">
        <v>3088</v>
      </c>
      <c r="B33" s="14" t="n">
        <v>4</v>
      </c>
      <c r="C33" s="13" t="s">
        <v>3090</v>
      </c>
      <c r="D33" s="13" t="s">
        <v>225</v>
      </c>
      <c r="E33" s="13" t="s">
        <v>3085</v>
      </c>
    </row>
    <row r="34" customFormat="false" ht="15" hidden="false" customHeight="false" outlineLevel="0" collapsed="false">
      <c r="A34" s="14" t="s">
        <v>3088</v>
      </c>
      <c r="B34" s="14" t="n">
        <v>5</v>
      </c>
      <c r="C34" s="13" t="s">
        <v>3090</v>
      </c>
      <c r="D34" s="13" t="s">
        <v>237</v>
      </c>
      <c r="E34" s="13" t="s">
        <v>3085</v>
      </c>
    </row>
    <row r="35" customFormat="false" ht="15" hidden="false" customHeight="false" outlineLevel="0" collapsed="false">
      <c r="A35" s="14" t="s">
        <v>3088</v>
      </c>
      <c r="B35" s="14" t="n">
        <v>6</v>
      </c>
      <c r="C35" s="13" t="s">
        <v>3089</v>
      </c>
      <c r="D35" s="14"/>
      <c r="E35" s="13" t="s">
        <v>3085</v>
      </c>
    </row>
    <row r="36" customFormat="false" ht="15" hidden="false" customHeight="false" outlineLevel="0" collapsed="false">
      <c r="A36" s="14" t="s">
        <v>3088</v>
      </c>
      <c r="B36" s="14" t="n">
        <v>7</v>
      </c>
      <c r="C36" s="13" t="s">
        <v>3090</v>
      </c>
      <c r="D36" s="13" t="s">
        <v>213</v>
      </c>
      <c r="E36" s="13" t="s">
        <v>3085</v>
      </c>
    </row>
    <row r="37" customFormat="false" ht="15" hidden="false" customHeight="false" outlineLevel="0" collapsed="false">
      <c r="A37" s="14" t="s">
        <v>3088</v>
      </c>
      <c r="B37" s="14" t="n">
        <v>8</v>
      </c>
      <c r="C37" s="13" t="s">
        <v>3090</v>
      </c>
      <c r="D37" s="13" t="s">
        <v>201</v>
      </c>
      <c r="E37" s="13" t="s">
        <v>3085</v>
      </c>
    </row>
    <row r="38" customFormat="false" ht="15" hidden="false" customHeight="false" outlineLevel="0" collapsed="false">
      <c r="A38" s="14" t="s">
        <v>3088</v>
      </c>
      <c r="B38" s="14" t="n">
        <v>9</v>
      </c>
      <c r="C38" s="13" t="s">
        <v>3091</v>
      </c>
      <c r="D38" s="14"/>
      <c r="E38" s="13" t="s">
        <v>3085</v>
      </c>
    </row>
    <row r="39" customFormat="false" ht="15" hidden="false" customHeight="false" outlineLevel="0" collapsed="false">
      <c r="A39" s="14" t="s">
        <v>3088</v>
      </c>
      <c r="B39" s="14" t="n">
        <v>10</v>
      </c>
      <c r="C39" s="13" t="s">
        <v>3090</v>
      </c>
      <c r="D39" s="13" t="s">
        <v>237</v>
      </c>
      <c r="E39" s="13" t="s">
        <v>3085</v>
      </c>
    </row>
    <row r="40" customFormat="false" ht="15" hidden="false" customHeight="false" outlineLevel="0" collapsed="false">
      <c r="A40" s="14" t="s">
        <v>3088</v>
      </c>
      <c r="B40" s="14" t="n">
        <v>11</v>
      </c>
      <c r="C40" s="13" t="s">
        <v>3090</v>
      </c>
      <c r="D40" s="13" t="s">
        <v>225</v>
      </c>
      <c r="E40" s="13" t="s">
        <v>3085</v>
      </c>
    </row>
  </sheetData>
  <autoFilter ref="A4:E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2026-09-02T05:28:50Z</dcterms:created>
  <dc:creator>openpyxl</dc:creator>
  <dc:description/>
  <dc:language>en-US</dc:language>
  <cp:lastModifiedBy/>
  <dcterms:modified xsi:type="dcterms:W3CDTF">2026-09-02T05:28:50Z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